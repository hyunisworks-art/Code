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 repository_local\so_order\"/>
    </mc:Choice>
  </mc:AlternateContent>
  <xr:revisionPtr revIDLastSave="0" documentId="13_ncr:1_{79D5A526-3060-4F08-B4F4-C5D693A0BDEB}" xr6:coauthVersionLast="47" xr6:coauthVersionMax="47" xr10:uidLastSave="{00000000-0000-0000-0000-000000000000}"/>
  <bookViews>
    <workbookView xWindow="-120" yWindow="-120" windowWidth="29040" windowHeight="15720" tabRatio="757" xr2:uid="{00000000-000D-0000-FFFF-FFFF00000000}"/>
  </bookViews>
  <sheets>
    <sheet name="W2Pデータ貼り付け" sheetId="7" r:id="rId1"/>
    <sheet name="☆使い方" sheetId="4" r:id="rId2"/>
    <sheet name="ファイル名保持" sheetId="20" r:id="rId3"/>
    <sheet name="注文書" sheetId="8" r:id="rId4"/>
    <sheet name="作業指示書作成リスト" sheetId="3" r:id="rId5"/>
    <sheet name="製品仕様マスタ" sheetId="2" r:id="rId6"/>
    <sheet name="特定新藤様商品コード設定シート" sheetId="24" r:id="rId7"/>
    <sheet name="配送先住所" sheetId="9" r:id="rId8"/>
    <sheet name="ファイル名設定シート" sheetId="13" r:id="rId9"/>
    <sheet name="送料振り分け設定シート" sheetId="25" r:id="rId10"/>
    <sheet name="orderDetailと入庫、出荷の項目の対応付け設定" sheetId="10" r:id="rId11"/>
    <sheet name="【ヘッダー】出荷データ" sheetId="14" r:id="rId12"/>
    <sheet name="【ヘッダー】入庫取込データ" sheetId="15" r:id="rId13"/>
    <sheet name="【ヘッダー】新藤様用締めデータ" sheetId="21" r:id="rId14"/>
    <sheet name="梱包数" sheetId="16" r:id="rId15"/>
    <sheet name="梱包数(個別)" sheetId="17" r:id="rId16"/>
    <sheet name="定款コード" sheetId="23" r:id="rId17"/>
    <sheet name="祝日表" sheetId="18" r:id="rId18"/>
    <sheet name="配送先都道府県" sheetId="19" r:id="rId19"/>
  </sheets>
  <functionGroups builtInGroupCount="19"/>
  <definedNames>
    <definedName name="_xlnm._FilterDatabase" localSheetId="0" hidden="1">W2Pデータ貼り付け!$A$1:$AH$356</definedName>
    <definedName name="_xlnm._FilterDatabase" localSheetId="4" hidden="1">作業指示書作成リスト!$A$1:$AB$1</definedName>
    <definedName name="_xlnm._FilterDatabase" localSheetId="5" hidden="1">製品仕様マスタ!$A$1:$BB$199</definedName>
    <definedName name="_xlnm.Print_Area" localSheetId="1">☆使い方!$A$1:$K$333</definedName>
    <definedName name="_xlnm.Print_Area" localSheetId="4">作業指示書作成リスト!$A$1:$Y$1</definedName>
    <definedName name="_xlnm.Print_Area" localSheetId="3">注文書!$A$1:$I$35</definedName>
    <definedName name="_xlnm.Print_Titles" localSheetId="3">注文書!$1:$5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2" i="7" l="1"/>
  <c r="AL352" i="7" s="1"/>
  <c r="AJ352" i="7"/>
  <c r="AI352" i="7"/>
  <c r="AK351" i="7"/>
  <c r="AL351" i="7" s="1"/>
  <c r="AJ351" i="7"/>
  <c r="AI351" i="7"/>
  <c r="AK350" i="7"/>
  <c r="AL350" i="7" s="1"/>
  <c r="AJ350" i="7"/>
  <c r="AI350" i="7"/>
  <c r="AK349" i="7"/>
  <c r="AL349" i="7" s="1"/>
  <c r="AJ349" i="7"/>
  <c r="AI349" i="7"/>
  <c r="AK348" i="7"/>
  <c r="AL348" i="7" s="1"/>
  <c r="AJ348" i="7"/>
  <c r="AI348" i="7"/>
  <c r="AK347" i="7"/>
  <c r="AL347" i="7" s="1"/>
  <c r="AJ347" i="7"/>
  <c r="AI347" i="7"/>
  <c r="AK346" i="7"/>
  <c r="AL346" i="7" s="1"/>
  <c r="AJ346" i="7"/>
  <c r="AI346" i="7"/>
  <c r="AK345" i="7"/>
  <c r="AL345" i="7" s="1"/>
  <c r="AJ345" i="7"/>
  <c r="AI345" i="7"/>
  <c r="AK344" i="7"/>
  <c r="AL344" i="7" s="1"/>
  <c r="AJ344" i="7"/>
  <c r="AI344" i="7"/>
  <c r="AK343" i="7"/>
  <c r="AL343" i="7" s="1"/>
  <c r="AJ343" i="7"/>
  <c r="AI343" i="7"/>
  <c r="AK342" i="7"/>
  <c r="AL342" i="7" s="1"/>
  <c r="AJ342" i="7"/>
  <c r="AI342" i="7"/>
  <c r="AK341" i="7"/>
  <c r="AL341" i="7" s="1"/>
  <c r="AJ341" i="7"/>
  <c r="AI341" i="7"/>
  <c r="AK340" i="7"/>
  <c r="AL340" i="7" s="1"/>
  <c r="AJ340" i="7"/>
  <c r="AI340" i="7"/>
  <c r="AK339" i="7"/>
  <c r="AL339" i="7" s="1"/>
  <c r="AJ339" i="7"/>
  <c r="AI339" i="7"/>
  <c r="AK338" i="7"/>
  <c r="AL338" i="7" s="1"/>
  <c r="AJ338" i="7"/>
  <c r="AI338" i="7"/>
  <c r="AK337" i="7"/>
  <c r="AL337" i="7" s="1"/>
  <c r="AJ337" i="7"/>
  <c r="AI337" i="7"/>
  <c r="AK336" i="7"/>
  <c r="AL336" i="7" s="1"/>
  <c r="AJ336" i="7"/>
  <c r="AI336" i="7"/>
  <c r="AK335" i="7"/>
  <c r="AL335" i="7" s="1"/>
  <c r="AJ335" i="7"/>
  <c r="AI335" i="7"/>
  <c r="AK334" i="7"/>
  <c r="AL334" i="7" s="1"/>
  <c r="AJ334" i="7"/>
  <c r="AI334" i="7"/>
  <c r="AK333" i="7"/>
  <c r="AL333" i="7" s="1"/>
  <c r="AJ333" i="7"/>
  <c r="AI333" i="7"/>
  <c r="AK332" i="7"/>
  <c r="AL332" i="7" s="1"/>
  <c r="AJ332" i="7"/>
  <c r="AI332" i="7"/>
  <c r="AK331" i="7"/>
  <c r="AL331" i="7" s="1"/>
  <c r="AJ331" i="7"/>
  <c r="AI331" i="7"/>
  <c r="AK330" i="7"/>
  <c r="AL330" i="7" s="1"/>
  <c r="AJ330" i="7"/>
  <c r="AI330" i="7"/>
  <c r="AK329" i="7"/>
  <c r="AL329" i="7" s="1"/>
  <c r="AJ329" i="7"/>
  <c r="AI329" i="7"/>
  <c r="AK328" i="7"/>
  <c r="AL328" i="7" s="1"/>
  <c r="AJ328" i="7"/>
  <c r="AI328" i="7"/>
  <c r="AK327" i="7"/>
  <c r="AL327" i="7" s="1"/>
  <c r="AJ327" i="7"/>
  <c r="AI327" i="7"/>
  <c r="AK326" i="7"/>
  <c r="AL326" i="7" s="1"/>
  <c r="AJ326" i="7"/>
  <c r="AI326" i="7"/>
  <c r="AK325" i="7"/>
  <c r="AL325" i="7" s="1"/>
  <c r="AJ325" i="7"/>
  <c r="AI325" i="7"/>
  <c r="AK324" i="7"/>
  <c r="AL324" i="7" s="1"/>
  <c r="AJ324" i="7"/>
  <c r="AI324" i="7"/>
  <c r="AK323" i="7"/>
  <c r="AL323" i="7" s="1"/>
  <c r="AJ323" i="7"/>
  <c r="AI323" i="7"/>
  <c r="AK322" i="7"/>
  <c r="AL322" i="7" s="1"/>
  <c r="AJ322" i="7"/>
  <c r="AI322" i="7"/>
  <c r="AK321" i="7"/>
  <c r="AL321" i="7" s="1"/>
  <c r="AJ321" i="7"/>
  <c r="AI321" i="7"/>
  <c r="AK320" i="7"/>
  <c r="AL320" i="7" s="1"/>
  <c r="AJ320" i="7"/>
  <c r="AI320" i="7"/>
  <c r="AK319" i="7"/>
  <c r="AL319" i="7" s="1"/>
  <c r="AJ319" i="7"/>
  <c r="AI319" i="7"/>
  <c r="AK318" i="7"/>
  <c r="AL318" i="7" s="1"/>
  <c r="AJ318" i="7"/>
  <c r="AI318" i="7"/>
  <c r="AK317" i="7"/>
  <c r="AL317" i="7" s="1"/>
  <c r="AJ317" i="7"/>
  <c r="AI317" i="7"/>
  <c r="AK316" i="7"/>
  <c r="AL316" i="7" s="1"/>
  <c r="AJ316" i="7"/>
  <c r="AI316" i="7"/>
  <c r="AK315" i="7"/>
  <c r="AL315" i="7" s="1"/>
  <c r="AJ315" i="7"/>
  <c r="AI315" i="7"/>
  <c r="AK314" i="7"/>
  <c r="AL314" i="7" s="1"/>
  <c r="AJ314" i="7"/>
  <c r="AI314" i="7"/>
  <c r="AK313" i="7"/>
  <c r="AL313" i="7" s="1"/>
  <c r="AJ313" i="7"/>
  <c r="AI313" i="7"/>
  <c r="AK312" i="7"/>
  <c r="AL312" i="7" s="1"/>
  <c r="AJ312" i="7"/>
  <c r="AI312" i="7"/>
  <c r="AK311" i="7"/>
  <c r="AL311" i="7" s="1"/>
  <c r="AJ311" i="7"/>
  <c r="AI311" i="7"/>
  <c r="AK310" i="7"/>
  <c r="AL310" i="7" s="1"/>
  <c r="AJ310" i="7"/>
  <c r="AI310" i="7"/>
  <c r="AK309" i="7"/>
  <c r="AL309" i="7" s="1"/>
  <c r="AJ309" i="7"/>
  <c r="AI309" i="7"/>
  <c r="AK308" i="7"/>
  <c r="AL308" i="7" s="1"/>
  <c r="AJ308" i="7"/>
  <c r="AI308" i="7"/>
  <c r="AK307" i="7"/>
  <c r="AL307" i="7" s="1"/>
  <c r="AJ307" i="7"/>
  <c r="AI307" i="7"/>
  <c r="AK306" i="7"/>
  <c r="AL306" i="7" s="1"/>
  <c r="AJ306" i="7"/>
  <c r="AI306" i="7"/>
  <c r="AK305" i="7"/>
  <c r="AL305" i="7" s="1"/>
  <c r="AJ305" i="7"/>
  <c r="AI305" i="7"/>
  <c r="AK304" i="7"/>
  <c r="AL304" i="7" s="1"/>
  <c r="AJ304" i="7"/>
  <c r="AI304" i="7"/>
  <c r="AK303" i="7"/>
  <c r="AL303" i="7" s="1"/>
  <c r="AJ303" i="7"/>
  <c r="AI303" i="7"/>
  <c r="AK302" i="7"/>
  <c r="AL302" i="7" s="1"/>
  <c r="AJ302" i="7"/>
  <c r="AI302" i="7"/>
  <c r="AK301" i="7"/>
  <c r="AL301" i="7" s="1"/>
  <c r="AJ301" i="7"/>
  <c r="AI301" i="7"/>
  <c r="AK300" i="7"/>
  <c r="AL300" i="7" s="1"/>
  <c r="AJ300" i="7"/>
  <c r="AI300" i="7"/>
  <c r="AK299" i="7"/>
  <c r="AL299" i="7" s="1"/>
  <c r="AJ299" i="7"/>
  <c r="AI299" i="7"/>
  <c r="AK298" i="7"/>
  <c r="AL298" i="7" s="1"/>
  <c r="AJ298" i="7"/>
  <c r="AI298" i="7"/>
  <c r="AK297" i="7"/>
  <c r="AL297" i="7" s="1"/>
  <c r="AJ297" i="7"/>
  <c r="AI297" i="7"/>
  <c r="AK296" i="7"/>
  <c r="AL296" i="7" s="1"/>
  <c r="AJ296" i="7"/>
  <c r="AI296" i="7"/>
  <c r="AK295" i="7"/>
  <c r="AL295" i="7" s="1"/>
  <c r="AJ295" i="7"/>
  <c r="AI295" i="7"/>
  <c r="AK294" i="7"/>
  <c r="AL294" i="7" s="1"/>
  <c r="AJ294" i="7"/>
  <c r="AI294" i="7"/>
  <c r="AK293" i="7"/>
  <c r="AL293" i="7" s="1"/>
  <c r="AJ293" i="7"/>
  <c r="AI293" i="7"/>
  <c r="AK292" i="7"/>
  <c r="AL292" i="7" s="1"/>
  <c r="AJ292" i="7"/>
  <c r="AI292" i="7"/>
  <c r="AK291" i="7"/>
  <c r="AL291" i="7" s="1"/>
  <c r="AJ291" i="7"/>
  <c r="AI291" i="7"/>
  <c r="AK290" i="7"/>
  <c r="AL290" i="7" s="1"/>
  <c r="AJ290" i="7"/>
  <c r="AI290" i="7"/>
  <c r="AK289" i="7"/>
  <c r="AL289" i="7" s="1"/>
  <c r="AJ289" i="7"/>
  <c r="AI289" i="7"/>
  <c r="AK288" i="7"/>
  <c r="AL288" i="7" s="1"/>
  <c r="AJ288" i="7"/>
  <c r="AI288" i="7"/>
  <c r="AK287" i="7"/>
  <c r="AL287" i="7" s="1"/>
  <c r="AJ287" i="7"/>
  <c r="AI287" i="7"/>
  <c r="AK286" i="7"/>
  <c r="AL286" i="7" s="1"/>
  <c r="AJ286" i="7"/>
  <c r="AI286" i="7"/>
  <c r="AK285" i="7"/>
  <c r="AL285" i="7" s="1"/>
  <c r="AJ285" i="7"/>
  <c r="AI285" i="7"/>
  <c r="AK284" i="7"/>
  <c r="AL284" i="7" s="1"/>
  <c r="AJ284" i="7"/>
  <c r="AI284" i="7"/>
  <c r="AK283" i="7"/>
  <c r="AL283" i="7" s="1"/>
  <c r="AJ283" i="7"/>
  <c r="AI283" i="7"/>
  <c r="AK282" i="7"/>
  <c r="AL282" i="7" s="1"/>
  <c r="AJ282" i="7"/>
  <c r="AI282" i="7"/>
  <c r="AK281" i="7"/>
  <c r="AL281" i="7" s="1"/>
  <c r="AJ281" i="7"/>
  <c r="AI281" i="7"/>
  <c r="AK280" i="7"/>
  <c r="AL280" i="7" s="1"/>
  <c r="AJ280" i="7"/>
  <c r="AI280" i="7"/>
  <c r="AK279" i="7"/>
  <c r="AL279" i="7" s="1"/>
  <c r="AJ279" i="7"/>
  <c r="AI279" i="7"/>
  <c r="AK278" i="7"/>
  <c r="AL278" i="7" s="1"/>
  <c r="AJ278" i="7"/>
  <c r="AI278" i="7"/>
  <c r="AK277" i="7"/>
  <c r="AL277" i="7" s="1"/>
  <c r="AJ277" i="7"/>
  <c r="AI277" i="7"/>
  <c r="AK276" i="7"/>
  <c r="AL276" i="7" s="1"/>
  <c r="AJ276" i="7"/>
  <c r="AI276" i="7"/>
  <c r="AK275" i="7"/>
  <c r="AL275" i="7" s="1"/>
  <c r="AJ275" i="7"/>
  <c r="AI275" i="7"/>
  <c r="AK274" i="7"/>
  <c r="AL274" i="7" s="1"/>
  <c r="AJ274" i="7"/>
  <c r="AI274" i="7"/>
  <c r="AK273" i="7"/>
  <c r="AL273" i="7" s="1"/>
  <c r="AJ273" i="7"/>
  <c r="AI273" i="7"/>
  <c r="AK272" i="7"/>
  <c r="AL272" i="7" s="1"/>
  <c r="AJ272" i="7"/>
  <c r="AI272" i="7"/>
  <c r="AK271" i="7"/>
  <c r="AL271" i="7" s="1"/>
  <c r="AJ271" i="7"/>
  <c r="AI271" i="7"/>
  <c r="AK270" i="7"/>
  <c r="AL270" i="7" s="1"/>
  <c r="AJ270" i="7"/>
  <c r="AI270" i="7"/>
  <c r="AK269" i="7"/>
  <c r="AL269" i="7" s="1"/>
  <c r="AJ269" i="7"/>
  <c r="AI269" i="7"/>
  <c r="AK268" i="7"/>
  <c r="AL268" i="7" s="1"/>
  <c r="AJ268" i="7"/>
  <c r="AI268" i="7"/>
  <c r="AK267" i="7"/>
  <c r="AL267" i="7" s="1"/>
  <c r="AJ267" i="7"/>
  <c r="AI267" i="7"/>
  <c r="AK266" i="7"/>
  <c r="AL266" i="7" s="1"/>
  <c r="AJ266" i="7"/>
  <c r="AI266" i="7"/>
  <c r="AK265" i="7"/>
  <c r="AL265" i="7" s="1"/>
  <c r="AJ265" i="7"/>
  <c r="AI265" i="7"/>
  <c r="AK264" i="7"/>
  <c r="AL264" i="7" s="1"/>
  <c r="AJ264" i="7"/>
  <c r="AI264" i="7"/>
  <c r="AK263" i="7"/>
  <c r="AL263" i="7" s="1"/>
  <c r="AJ263" i="7"/>
  <c r="AI263" i="7"/>
  <c r="AK262" i="7"/>
  <c r="AL262" i="7" s="1"/>
  <c r="AJ262" i="7"/>
  <c r="AI262" i="7"/>
  <c r="AK261" i="7"/>
  <c r="AL261" i="7" s="1"/>
  <c r="AJ261" i="7"/>
  <c r="AI261" i="7"/>
  <c r="AK260" i="7"/>
  <c r="AL260" i="7" s="1"/>
  <c r="AJ260" i="7"/>
  <c r="AI260" i="7"/>
  <c r="AK259" i="7"/>
  <c r="AL259" i="7" s="1"/>
  <c r="AJ259" i="7"/>
  <c r="AI259" i="7"/>
  <c r="AK258" i="7"/>
  <c r="AL258" i="7" s="1"/>
  <c r="AJ258" i="7"/>
  <c r="AI258" i="7"/>
  <c r="AK257" i="7"/>
  <c r="AL257" i="7" s="1"/>
  <c r="AJ257" i="7"/>
  <c r="AI257" i="7"/>
  <c r="AK256" i="7"/>
  <c r="AL256" i="7" s="1"/>
  <c r="AJ256" i="7"/>
  <c r="AI256" i="7"/>
  <c r="AK255" i="7"/>
  <c r="AL255" i="7" s="1"/>
  <c r="AJ255" i="7"/>
  <c r="AI255" i="7"/>
  <c r="AK254" i="7"/>
  <c r="AL254" i="7" s="1"/>
  <c r="AJ254" i="7"/>
  <c r="AI254" i="7"/>
  <c r="AK253" i="7"/>
  <c r="AL253" i="7" s="1"/>
  <c r="AJ253" i="7"/>
  <c r="AI253" i="7"/>
  <c r="AK252" i="7"/>
  <c r="AL252" i="7" s="1"/>
  <c r="AJ252" i="7"/>
  <c r="AI252" i="7"/>
  <c r="AK251" i="7"/>
  <c r="AL251" i="7" s="1"/>
  <c r="AJ251" i="7"/>
  <c r="AI251" i="7"/>
  <c r="AK250" i="7"/>
  <c r="AL250" i="7" s="1"/>
  <c r="AJ250" i="7"/>
  <c r="AI250" i="7"/>
  <c r="AK249" i="7"/>
  <c r="AL249" i="7" s="1"/>
  <c r="AJ249" i="7"/>
  <c r="AI249" i="7"/>
  <c r="AK248" i="7"/>
  <c r="AL248" i="7" s="1"/>
  <c r="AJ248" i="7"/>
  <c r="AI248" i="7"/>
  <c r="AK247" i="7"/>
  <c r="AL247" i="7" s="1"/>
  <c r="AJ247" i="7"/>
  <c r="AI247" i="7"/>
  <c r="AK246" i="7"/>
  <c r="AL246" i="7" s="1"/>
  <c r="AJ246" i="7"/>
  <c r="AI246" i="7"/>
  <c r="AK245" i="7"/>
  <c r="AL245" i="7" s="1"/>
  <c r="AJ245" i="7"/>
  <c r="AI245" i="7"/>
  <c r="AK244" i="7"/>
  <c r="AL244" i="7" s="1"/>
  <c r="AJ244" i="7"/>
  <c r="AI244" i="7"/>
  <c r="AK243" i="7"/>
  <c r="AL243" i="7" s="1"/>
  <c r="AJ243" i="7"/>
  <c r="AI243" i="7"/>
  <c r="AK242" i="7"/>
  <c r="AL242" i="7" s="1"/>
  <c r="AJ242" i="7"/>
  <c r="AI242" i="7"/>
  <c r="AK241" i="7"/>
  <c r="AL241" i="7" s="1"/>
  <c r="AJ241" i="7"/>
  <c r="AI241" i="7"/>
  <c r="AK240" i="7"/>
  <c r="AL240" i="7" s="1"/>
  <c r="AJ240" i="7"/>
  <c r="AI240" i="7"/>
  <c r="AK239" i="7"/>
  <c r="AL239" i="7" s="1"/>
  <c r="AJ239" i="7"/>
  <c r="AI239" i="7"/>
  <c r="AK238" i="7"/>
  <c r="AL238" i="7" s="1"/>
  <c r="AJ238" i="7"/>
  <c r="AI238" i="7"/>
  <c r="AK237" i="7"/>
  <c r="AL237" i="7" s="1"/>
  <c r="AJ237" i="7"/>
  <c r="AI237" i="7"/>
  <c r="AK236" i="7"/>
  <c r="AL236" i="7" s="1"/>
  <c r="AJ236" i="7"/>
  <c r="AI236" i="7"/>
  <c r="AK235" i="7"/>
  <c r="AL235" i="7" s="1"/>
  <c r="AJ235" i="7"/>
  <c r="AI235" i="7"/>
  <c r="AK234" i="7"/>
  <c r="AL234" i="7" s="1"/>
  <c r="AJ234" i="7"/>
  <c r="AI234" i="7"/>
  <c r="AK233" i="7"/>
  <c r="AL233" i="7" s="1"/>
  <c r="AJ233" i="7"/>
  <c r="AI233" i="7"/>
  <c r="AK232" i="7"/>
  <c r="AL232" i="7" s="1"/>
  <c r="AJ232" i="7"/>
  <c r="AI232" i="7"/>
  <c r="AK231" i="7"/>
  <c r="AL231" i="7" s="1"/>
  <c r="AJ231" i="7"/>
  <c r="AI231" i="7"/>
  <c r="AK230" i="7"/>
  <c r="AL230" i="7" s="1"/>
  <c r="AJ230" i="7"/>
  <c r="AI230" i="7"/>
  <c r="AK229" i="7"/>
  <c r="AL229" i="7" s="1"/>
  <c r="AJ229" i="7"/>
  <c r="AI229" i="7"/>
  <c r="AK228" i="7"/>
  <c r="AL228" i="7" s="1"/>
  <c r="AJ228" i="7"/>
  <c r="AI228" i="7"/>
  <c r="AK227" i="7"/>
  <c r="AL227" i="7" s="1"/>
  <c r="AJ227" i="7"/>
  <c r="AI227" i="7"/>
  <c r="AK226" i="7"/>
  <c r="AL226" i="7" s="1"/>
  <c r="AJ226" i="7"/>
  <c r="AI226" i="7"/>
  <c r="AK225" i="7"/>
  <c r="AL225" i="7" s="1"/>
  <c r="AJ225" i="7"/>
  <c r="AI225" i="7"/>
  <c r="AK224" i="7"/>
  <c r="AL224" i="7" s="1"/>
  <c r="AJ224" i="7"/>
  <c r="AI224" i="7"/>
  <c r="AK223" i="7"/>
  <c r="AL223" i="7" s="1"/>
  <c r="AJ223" i="7"/>
  <c r="AI223" i="7"/>
  <c r="AK222" i="7"/>
  <c r="AL222" i="7" s="1"/>
  <c r="AJ222" i="7"/>
  <c r="AI222" i="7"/>
  <c r="AK221" i="7"/>
  <c r="AL221" i="7" s="1"/>
  <c r="AJ221" i="7"/>
  <c r="AI221" i="7"/>
  <c r="AK220" i="7"/>
  <c r="AL220" i="7" s="1"/>
  <c r="AJ220" i="7"/>
  <c r="AI220" i="7"/>
  <c r="AK219" i="7"/>
  <c r="AL219" i="7" s="1"/>
  <c r="AJ219" i="7"/>
  <c r="AI219" i="7"/>
  <c r="AK218" i="7"/>
  <c r="AL218" i="7" s="1"/>
  <c r="AJ218" i="7"/>
  <c r="AI218" i="7"/>
  <c r="AK217" i="7"/>
  <c r="AL217" i="7" s="1"/>
  <c r="AJ217" i="7"/>
  <c r="AI217" i="7"/>
  <c r="AK216" i="7"/>
  <c r="AL216" i="7" s="1"/>
  <c r="AJ216" i="7"/>
  <c r="AI216" i="7"/>
  <c r="AK215" i="7"/>
  <c r="AL215" i="7" s="1"/>
  <c r="AJ215" i="7"/>
  <c r="AI215" i="7"/>
  <c r="AK214" i="7"/>
  <c r="AL214" i="7" s="1"/>
  <c r="AJ214" i="7"/>
  <c r="AI214" i="7"/>
  <c r="AK213" i="7"/>
  <c r="AL213" i="7" s="1"/>
  <c r="AJ213" i="7"/>
  <c r="AI213" i="7"/>
  <c r="AK212" i="7"/>
  <c r="AL212" i="7" s="1"/>
  <c r="AJ212" i="7"/>
  <c r="AI212" i="7"/>
  <c r="AK211" i="7"/>
  <c r="AL211" i="7" s="1"/>
  <c r="AJ211" i="7"/>
  <c r="AI211" i="7"/>
  <c r="AK210" i="7"/>
  <c r="AL210" i="7" s="1"/>
  <c r="AJ210" i="7"/>
  <c r="AI210" i="7"/>
  <c r="AK209" i="7"/>
  <c r="AL209" i="7" s="1"/>
  <c r="AJ209" i="7"/>
  <c r="AI209" i="7"/>
  <c r="AK208" i="7"/>
  <c r="AL208" i="7" s="1"/>
  <c r="AJ208" i="7"/>
  <c r="AI208" i="7"/>
  <c r="AK207" i="7"/>
  <c r="AL207" i="7" s="1"/>
  <c r="AJ207" i="7"/>
  <c r="AI207" i="7"/>
  <c r="AK206" i="7"/>
  <c r="AL206" i="7" s="1"/>
  <c r="AJ206" i="7"/>
  <c r="AI206" i="7"/>
  <c r="AK205" i="7"/>
  <c r="AL205" i="7" s="1"/>
  <c r="AJ205" i="7"/>
  <c r="AI205" i="7"/>
  <c r="AK204" i="7"/>
  <c r="AL204" i="7" s="1"/>
  <c r="AJ204" i="7"/>
  <c r="AI204" i="7"/>
  <c r="AK203" i="7"/>
  <c r="AL203" i="7" s="1"/>
  <c r="AJ203" i="7"/>
  <c r="AI203" i="7"/>
  <c r="AK202" i="7"/>
  <c r="AL202" i="7" s="1"/>
  <c r="AJ202" i="7"/>
  <c r="AI202" i="7"/>
  <c r="AK201" i="7"/>
  <c r="AL201" i="7" s="1"/>
  <c r="AJ201" i="7"/>
  <c r="AI201" i="7"/>
  <c r="AK200" i="7"/>
  <c r="AL200" i="7" s="1"/>
  <c r="AJ200" i="7"/>
  <c r="AI200" i="7"/>
  <c r="AK199" i="7"/>
  <c r="AL199" i="7" s="1"/>
  <c r="AJ199" i="7"/>
  <c r="AI199" i="7"/>
  <c r="AK198" i="7"/>
  <c r="AL198" i="7" s="1"/>
  <c r="AJ198" i="7"/>
  <c r="AI198" i="7"/>
  <c r="AK197" i="7"/>
  <c r="AL197" i="7" s="1"/>
  <c r="AJ197" i="7"/>
  <c r="AI197" i="7"/>
  <c r="AK196" i="7"/>
  <c r="AL196" i="7" s="1"/>
  <c r="AJ196" i="7"/>
  <c r="AI196" i="7"/>
  <c r="AK195" i="7"/>
  <c r="AL195" i="7" s="1"/>
  <c r="AJ195" i="7"/>
  <c r="AI195" i="7"/>
  <c r="AK194" i="7"/>
  <c r="AL194" i="7" s="1"/>
  <c r="AJ194" i="7"/>
  <c r="AI194" i="7"/>
  <c r="AK193" i="7"/>
  <c r="AL193" i="7" s="1"/>
  <c r="AJ193" i="7"/>
  <c r="AI193" i="7"/>
  <c r="AK192" i="7"/>
  <c r="AL192" i="7" s="1"/>
  <c r="AJ192" i="7"/>
  <c r="AI192" i="7"/>
  <c r="AK191" i="7"/>
  <c r="AL191" i="7" s="1"/>
  <c r="AJ191" i="7"/>
  <c r="AI191" i="7"/>
  <c r="AK190" i="7"/>
  <c r="AL190" i="7" s="1"/>
  <c r="AJ190" i="7"/>
  <c r="AI190" i="7"/>
  <c r="AK189" i="7"/>
  <c r="AL189" i="7" s="1"/>
  <c r="AJ189" i="7"/>
  <c r="AI189" i="7"/>
  <c r="AK188" i="7"/>
  <c r="AL188" i="7" s="1"/>
  <c r="AJ188" i="7"/>
  <c r="AI188" i="7"/>
  <c r="AK187" i="7"/>
  <c r="AL187" i="7" s="1"/>
  <c r="AJ187" i="7"/>
  <c r="AI187" i="7"/>
  <c r="AK186" i="7"/>
  <c r="AL186" i="7" s="1"/>
  <c r="AJ186" i="7"/>
  <c r="AI186" i="7"/>
  <c r="AK185" i="7"/>
  <c r="AL185" i="7" s="1"/>
  <c r="AJ185" i="7"/>
  <c r="AI185" i="7"/>
  <c r="AK184" i="7"/>
  <c r="AL184" i="7" s="1"/>
  <c r="AJ184" i="7"/>
  <c r="AI184" i="7"/>
  <c r="AK183" i="7"/>
  <c r="AL183" i="7" s="1"/>
  <c r="AJ183" i="7"/>
  <c r="AI183" i="7"/>
  <c r="AK182" i="7"/>
  <c r="AL182" i="7" s="1"/>
  <c r="AJ182" i="7"/>
  <c r="AI182" i="7"/>
  <c r="AK181" i="7"/>
  <c r="AL181" i="7" s="1"/>
  <c r="AJ181" i="7"/>
  <c r="AI181" i="7"/>
  <c r="AK180" i="7"/>
  <c r="AL180" i="7" s="1"/>
  <c r="AJ180" i="7"/>
  <c r="AI180" i="7"/>
  <c r="AK179" i="7"/>
  <c r="AL179" i="7" s="1"/>
  <c r="AJ179" i="7"/>
  <c r="AI179" i="7"/>
  <c r="AK178" i="7"/>
  <c r="AL178" i="7" s="1"/>
  <c r="AJ178" i="7"/>
  <c r="AI178" i="7"/>
  <c r="AK177" i="7"/>
  <c r="AL177" i="7" s="1"/>
  <c r="AJ177" i="7"/>
  <c r="AI177" i="7"/>
  <c r="AK176" i="7"/>
  <c r="AL176" i="7" s="1"/>
  <c r="AJ176" i="7"/>
  <c r="AI176" i="7"/>
  <c r="AK175" i="7"/>
  <c r="AL175" i="7" s="1"/>
  <c r="AJ175" i="7"/>
  <c r="AI175" i="7"/>
  <c r="AK174" i="7"/>
  <c r="AL174" i="7" s="1"/>
  <c r="AJ174" i="7"/>
  <c r="AI174" i="7"/>
  <c r="AK173" i="7"/>
  <c r="AL173" i="7" s="1"/>
  <c r="AJ173" i="7"/>
  <c r="AI173" i="7"/>
  <c r="AK172" i="7"/>
  <c r="AL172" i="7" s="1"/>
  <c r="AJ172" i="7"/>
  <c r="AI172" i="7"/>
  <c r="AK171" i="7"/>
  <c r="AL171" i="7" s="1"/>
  <c r="AJ171" i="7"/>
  <c r="AI171" i="7"/>
  <c r="AK170" i="7"/>
  <c r="AL170" i="7" s="1"/>
  <c r="AJ170" i="7"/>
  <c r="AI170" i="7"/>
  <c r="AK169" i="7"/>
  <c r="AL169" i="7" s="1"/>
  <c r="AJ169" i="7"/>
  <c r="AI169" i="7"/>
  <c r="AK168" i="7"/>
  <c r="AL168" i="7" s="1"/>
  <c r="AJ168" i="7"/>
  <c r="AI168" i="7"/>
  <c r="AK167" i="7"/>
  <c r="AL167" i="7" s="1"/>
  <c r="AJ167" i="7"/>
  <c r="AI167" i="7"/>
  <c r="AK166" i="7"/>
  <c r="AL166" i="7" s="1"/>
  <c r="AJ166" i="7"/>
  <c r="AI166" i="7"/>
  <c r="AK165" i="7"/>
  <c r="AL165" i="7" s="1"/>
  <c r="AJ165" i="7"/>
  <c r="AI165" i="7"/>
  <c r="AK164" i="7"/>
  <c r="AL164" i="7" s="1"/>
  <c r="AJ164" i="7"/>
  <c r="AI164" i="7"/>
  <c r="AK163" i="7"/>
  <c r="AL163" i="7" s="1"/>
  <c r="AJ163" i="7"/>
  <c r="AI163" i="7"/>
  <c r="AK162" i="7"/>
  <c r="AL162" i="7" s="1"/>
  <c r="AJ162" i="7"/>
  <c r="AI162" i="7"/>
  <c r="AK161" i="7"/>
  <c r="AL161" i="7" s="1"/>
  <c r="AJ161" i="7"/>
  <c r="AI161" i="7"/>
  <c r="AK160" i="7"/>
  <c r="AL160" i="7" s="1"/>
  <c r="AJ160" i="7"/>
  <c r="AI160" i="7"/>
  <c r="AK159" i="7"/>
  <c r="AL159" i="7" s="1"/>
  <c r="AJ159" i="7"/>
  <c r="AI159" i="7"/>
  <c r="AK158" i="7"/>
  <c r="AL158" i="7" s="1"/>
  <c r="AJ158" i="7"/>
  <c r="AI158" i="7"/>
  <c r="AK157" i="7"/>
  <c r="AL157" i="7" s="1"/>
  <c r="AJ157" i="7"/>
  <c r="AI157" i="7"/>
  <c r="AK156" i="7"/>
  <c r="AL156" i="7" s="1"/>
  <c r="AJ156" i="7"/>
  <c r="AI156" i="7"/>
  <c r="AK155" i="7"/>
  <c r="AL155" i="7" s="1"/>
  <c r="AJ155" i="7"/>
  <c r="AI155" i="7"/>
  <c r="AK154" i="7"/>
  <c r="AL154" i="7" s="1"/>
  <c r="AJ154" i="7"/>
  <c r="AI154" i="7"/>
  <c r="AK153" i="7"/>
  <c r="AL153" i="7" s="1"/>
  <c r="AJ153" i="7"/>
  <c r="AI153" i="7"/>
  <c r="AK152" i="7"/>
  <c r="AL152" i="7" s="1"/>
  <c r="AJ152" i="7"/>
  <c r="AI152" i="7"/>
  <c r="AK151" i="7"/>
  <c r="AL151" i="7" s="1"/>
  <c r="AJ151" i="7"/>
  <c r="AI151" i="7"/>
  <c r="AK150" i="7"/>
  <c r="AL150" i="7" s="1"/>
  <c r="AJ150" i="7"/>
  <c r="AI150" i="7"/>
  <c r="AK149" i="7"/>
  <c r="AL149" i="7" s="1"/>
  <c r="AJ149" i="7"/>
  <c r="AI149" i="7"/>
  <c r="AK148" i="7"/>
  <c r="AL148" i="7" s="1"/>
  <c r="AJ148" i="7"/>
  <c r="AI148" i="7"/>
  <c r="AK147" i="7"/>
  <c r="AL147" i="7" s="1"/>
  <c r="AJ147" i="7"/>
  <c r="AI147" i="7"/>
  <c r="AK146" i="7"/>
  <c r="AL146" i="7" s="1"/>
  <c r="AJ146" i="7"/>
  <c r="AI146" i="7"/>
  <c r="AK145" i="7"/>
  <c r="AL145" i="7" s="1"/>
  <c r="AJ145" i="7"/>
  <c r="AI145" i="7"/>
  <c r="AK144" i="7"/>
  <c r="AL144" i="7" s="1"/>
  <c r="AJ144" i="7"/>
  <c r="AI144" i="7"/>
  <c r="AK143" i="7"/>
  <c r="AL143" i="7" s="1"/>
  <c r="AJ143" i="7"/>
  <c r="AI143" i="7"/>
  <c r="AK142" i="7"/>
  <c r="AL142" i="7" s="1"/>
  <c r="AJ142" i="7"/>
  <c r="AI142" i="7"/>
  <c r="AK141" i="7"/>
  <c r="AL141" i="7" s="1"/>
  <c r="AJ141" i="7"/>
  <c r="AI141" i="7"/>
  <c r="AK140" i="7"/>
  <c r="AL140" i="7" s="1"/>
  <c r="AJ140" i="7"/>
  <c r="AI140" i="7"/>
  <c r="AK139" i="7"/>
  <c r="AL139" i="7" s="1"/>
  <c r="AJ139" i="7"/>
  <c r="AI139" i="7"/>
  <c r="AK138" i="7"/>
  <c r="AL138" i="7" s="1"/>
  <c r="AJ138" i="7"/>
  <c r="AI138" i="7"/>
  <c r="AK137" i="7"/>
  <c r="AL137" i="7" s="1"/>
  <c r="AJ137" i="7"/>
  <c r="AI137" i="7"/>
  <c r="AK136" i="7"/>
  <c r="AL136" i="7" s="1"/>
  <c r="AJ136" i="7"/>
  <c r="AI136" i="7"/>
  <c r="AK135" i="7"/>
  <c r="AL135" i="7" s="1"/>
  <c r="AJ135" i="7"/>
  <c r="AI135" i="7"/>
  <c r="AK134" i="7"/>
  <c r="AL134" i="7" s="1"/>
  <c r="AJ134" i="7"/>
  <c r="AI134" i="7"/>
  <c r="AK133" i="7"/>
  <c r="AL133" i="7" s="1"/>
  <c r="AJ133" i="7"/>
  <c r="AI133" i="7"/>
  <c r="AK132" i="7"/>
  <c r="AL132" i="7" s="1"/>
  <c r="AJ132" i="7"/>
  <c r="AI132" i="7"/>
  <c r="AK131" i="7"/>
  <c r="AL131" i="7" s="1"/>
  <c r="AJ131" i="7"/>
  <c r="AI131" i="7"/>
  <c r="AK130" i="7"/>
  <c r="AL130" i="7" s="1"/>
  <c r="AJ130" i="7"/>
  <c r="AI130" i="7"/>
  <c r="AK129" i="7"/>
  <c r="AL129" i="7" s="1"/>
  <c r="AJ129" i="7"/>
  <c r="AI129" i="7"/>
  <c r="AK128" i="7"/>
  <c r="AL128" i="7" s="1"/>
  <c r="AJ128" i="7"/>
  <c r="AI128" i="7"/>
  <c r="AK127" i="7"/>
  <c r="AL127" i="7" s="1"/>
  <c r="AJ127" i="7"/>
  <c r="AI127" i="7"/>
  <c r="AK126" i="7"/>
  <c r="AL126" i="7" s="1"/>
  <c r="AJ126" i="7"/>
  <c r="AI126" i="7"/>
  <c r="AK125" i="7"/>
  <c r="AL125" i="7" s="1"/>
  <c r="AJ125" i="7"/>
  <c r="AI125" i="7"/>
  <c r="AK124" i="7"/>
  <c r="AL124" i="7" s="1"/>
  <c r="AJ124" i="7"/>
  <c r="AI124" i="7"/>
  <c r="AK123" i="7"/>
  <c r="AL123" i="7" s="1"/>
  <c r="AJ123" i="7"/>
  <c r="AI123" i="7"/>
  <c r="AK122" i="7"/>
  <c r="AL122" i="7" s="1"/>
  <c r="AJ122" i="7"/>
  <c r="AI122" i="7"/>
  <c r="AK121" i="7"/>
  <c r="AL121" i="7" s="1"/>
  <c r="AJ121" i="7"/>
  <c r="AI121" i="7"/>
  <c r="AK120" i="7"/>
  <c r="AL120" i="7" s="1"/>
  <c r="AJ120" i="7"/>
  <c r="AI120" i="7"/>
  <c r="AK119" i="7"/>
  <c r="AL119" i="7" s="1"/>
  <c r="AJ119" i="7"/>
  <c r="AI119" i="7"/>
  <c r="AK118" i="7"/>
  <c r="AL118" i="7" s="1"/>
  <c r="AJ118" i="7"/>
  <c r="AI118" i="7"/>
  <c r="AK117" i="7"/>
  <c r="AL117" i="7" s="1"/>
  <c r="AJ117" i="7"/>
  <c r="AI117" i="7"/>
  <c r="AK116" i="7"/>
  <c r="AL116" i="7" s="1"/>
  <c r="AJ116" i="7"/>
  <c r="AI116" i="7"/>
  <c r="AK115" i="7"/>
  <c r="AL115" i="7" s="1"/>
  <c r="AJ115" i="7"/>
  <c r="AI115" i="7"/>
  <c r="AK114" i="7"/>
  <c r="AL114" i="7" s="1"/>
  <c r="AJ114" i="7"/>
  <c r="AI114" i="7"/>
  <c r="AK113" i="7"/>
  <c r="AL113" i="7" s="1"/>
  <c r="AJ113" i="7"/>
  <c r="AI113" i="7"/>
  <c r="AK112" i="7"/>
  <c r="AL112" i="7" s="1"/>
  <c r="AJ112" i="7"/>
  <c r="AI112" i="7"/>
  <c r="AK111" i="7"/>
  <c r="AL111" i="7" s="1"/>
  <c r="AJ111" i="7"/>
  <c r="AI111" i="7"/>
  <c r="AK110" i="7"/>
  <c r="AL110" i="7" s="1"/>
  <c r="AJ110" i="7"/>
  <c r="AI110" i="7"/>
  <c r="AK109" i="7"/>
  <c r="AL109" i="7" s="1"/>
  <c r="AJ109" i="7"/>
  <c r="AI109" i="7"/>
  <c r="AK108" i="7"/>
  <c r="AL108" i="7" s="1"/>
  <c r="AJ108" i="7"/>
  <c r="AI108" i="7"/>
  <c r="AK107" i="7"/>
  <c r="AL107" i="7" s="1"/>
  <c r="AJ107" i="7"/>
  <c r="AI107" i="7"/>
  <c r="AK106" i="7"/>
  <c r="AL106" i="7" s="1"/>
  <c r="AJ106" i="7"/>
  <c r="AI106" i="7"/>
  <c r="AK105" i="7"/>
  <c r="AL105" i="7" s="1"/>
  <c r="AJ105" i="7"/>
  <c r="AI105" i="7"/>
  <c r="AK104" i="7"/>
  <c r="AL104" i="7" s="1"/>
  <c r="AJ104" i="7"/>
  <c r="AI104" i="7"/>
  <c r="AK103" i="7"/>
  <c r="AL103" i="7" s="1"/>
  <c r="AJ103" i="7"/>
  <c r="AI103" i="7"/>
  <c r="AK102" i="7"/>
  <c r="AL102" i="7" s="1"/>
  <c r="AJ102" i="7"/>
  <c r="AI102" i="7"/>
  <c r="AK101" i="7"/>
  <c r="AL101" i="7" s="1"/>
  <c r="AJ101" i="7"/>
  <c r="AI101" i="7"/>
  <c r="AK100" i="7"/>
  <c r="AL100" i="7" s="1"/>
  <c r="AJ100" i="7"/>
  <c r="AI100" i="7"/>
  <c r="AK99" i="7"/>
  <c r="AL99" i="7" s="1"/>
  <c r="AJ99" i="7"/>
  <c r="AI99" i="7"/>
  <c r="AK98" i="7"/>
  <c r="AL98" i="7" s="1"/>
  <c r="AJ98" i="7"/>
  <c r="AI98" i="7"/>
  <c r="AK97" i="7"/>
  <c r="AL97" i="7" s="1"/>
  <c r="AJ97" i="7"/>
  <c r="AI97" i="7"/>
  <c r="AK96" i="7"/>
  <c r="AL96" i="7" s="1"/>
  <c r="AJ96" i="7"/>
  <c r="AI96" i="7"/>
  <c r="AK95" i="7"/>
  <c r="AL95" i="7" s="1"/>
  <c r="AJ95" i="7"/>
  <c r="AI95" i="7"/>
  <c r="AK94" i="7"/>
  <c r="AL94" i="7" s="1"/>
  <c r="AJ94" i="7"/>
  <c r="AI94" i="7"/>
  <c r="AK93" i="7"/>
  <c r="AL93" i="7" s="1"/>
  <c r="AJ93" i="7"/>
  <c r="AI93" i="7"/>
  <c r="AK92" i="7"/>
  <c r="AL92" i="7" s="1"/>
  <c r="AJ92" i="7"/>
  <c r="AI92" i="7"/>
  <c r="AK91" i="7"/>
  <c r="AL91" i="7" s="1"/>
  <c r="AJ91" i="7"/>
  <c r="AI91" i="7"/>
  <c r="AK90" i="7"/>
  <c r="AL90" i="7" s="1"/>
  <c r="AJ90" i="7"/>
  <c r="AI90" i="7"/>
  <c r="AK89" i="7"/>
  <c r="AL89" i="7" s="1"/>
  <c r="AJ89" i="7"/>
  <c r="AI89" i="7"/>
  <c r="AK88" i="7"/>
  <c r="AL88" i="7" s="1"/>
  <c r="AJ88" i="7"/>
  <c r="AI88" i="7"/>
  <c r="AK87" i="7"/>
  <c r="AL87" i="7" s="1"/>
  <c r="AJ87" i="7"/>
  <c r="AI87" i="7"/>
  <c r="AK86" i="7"/>
  <c r="AL86" i="7" s="1"/>
  <c r="AJ86" i="7"/>
  <c r="AI86" i="7"/>
  <c r="AK85" i="7"/>
  <c r="AL85" i="7" s="1"/>
  <c r="AJ85" i="7"/>
  <c r="AI85" i="7"/>
  <c r="AK84" i="7"/>
  <c r="AL84" i="7" s="1"/>
  <c r="AJ84" i="7"/>
  <c r="AI84" i="7"/>
  <c r="AK83" i="7"/>
  <c r="AL83" i="7" s="1"/>
  <c r="AJ83" i="7"/>
  <c r="AI83" i="7"/>
  <c r="AK82" i="7"/>
  <c r="AL82" i="7" s="1"/>
  <c r="AJ82" i="7"/>
  <c r="AI82" i="7"/>
  <c r="AK81" i="7"/>
  <c r="AL81" i="7" s="1"/>
  <c r="AJ81" i="7"/>
  <c r="AI81" i="7"/>
  <c r="AK80" i="7"/>
  <c r="AL80" i="7" s="1"/>
  <c r="AJ80" i="7"/>
  <c r="AI80" i="7"/>
  <c r="AK79" i="7"/>
  <c r="AL79" i="7" s="1"/>
  <c r="AJ79" i="7"/>
  <c r="AI79" i="7"/>
  <c r="AK78" i="7"/>
  <c r="AL78" i="7" s="1"/>
  <c r="AJ78" i="7"/>
  <c r="AI78" i="7"/>
  <c r="AK77" i="7"/>
  <c r="AL77" i="7" s="1"/>
  <c r="AJ77" i="7"/>
  <c r="AI77" i="7"/>
  <c r="AK76" i="7"/>
  <c r="AL76" i="7" s="1"/>
  <c r="AJ76" i="7"/>
  <c r="AI76" i="7"/>
  <c r="AK75" i="7"/>
  <c r="AL75" i="7" s="1"/>
  <c r="AJ75" i="7"/>
  <c r="AI75" i="7"/>
  <c r="AK74" i="7"/>
  <c r="AL74" i="7" s="1"/>
  <c r="AJ74" i="7"/>
  <c r="AI74" i="7"/>
  <c r="AK73" i="7"/>
  <c r="AL73" i="7" s="1"/>
  <c r="AJ73" i="7"/>
  <c r="AI73" i="7"/>
  <c r="AK72" i="7"/>
  <c r="AL72" i="7" s="1"/>
  <c r="AJ72" i="7"/>
  <c r="AI72" i="7"/>
  <c r="AK71" i="7"/>
  <c r="AL71" i="7" s="1"/>
  <c r="AJ71" i="7"/>
  <c r="AI71" i="7"/>
  <c r="AK70" i="7"/>
  <c r="AL70" i="7" s="1"/>
  <c r="AJ70" i="7"/>
  <c r="AI70" i="7"/>
  <c r="AK69" i="7"/>
  <c r="AL69" i="7" s="1"/>
  <c r="AJ69" i="7"/>
  <c r="AI69" i="7"/>
  <c r="AK68" i="7"/>
  <c r="AL68" i="7" s="1"/>
  <c r="AJ68" i="7"/>
  <c r="AI68" i="7"/>
  <c r="AK67" i="7"/>
  <c r="AL67" i="7" s="1"/>
  <c r="AJ67" i="7"/>
  <c r="AI67" i="7"/>
  <c r="AK66" i="7"/>
  <c r="AL66" i="7" s="1"/>
  <c r="AJ66" i="7"/>
  <c r="AI66" i="7"/>
  <c r="AK65" i="7"/>
  <c r="AL65" i="7" s="1"/>
  <c r="AJ65" i="7"/>
  <c r="AI65" i="7"/>
  <c r="AK64" i="7"/>
  <c r="AL64" i="7" s="1"/>
  <c r="AJ64" i="7"/>
  <c r="AI64" i="7"/>
  <c r="AK63" i="7"/>
  <c r="AL63" i="7" s="1"/>
  <c r="AJ63" i="7"/>
  <c r="AI63" i="7"/>
  <c r="AK62" i="7"/>
  <c r="AL62" i="7" s="1"/>
  <c r="AJ62" i="7"/>
  <c r="AI62" i="7"/>
  <c r="AK61" i="7"/>
  <c r="AL61" i="7" s="1"/>
  <c r="AJ61" i="7"/>
  <c r="AI61" i="7"/>
  <c r="AK60" i="7"/>
  <c r="AL60" i="7" s="1"/>
  <c r="AJ60" i="7"/>
  <c r="AI60" i="7"/>
  <c r="AK59" i="7"/>
  <c r="AL59" i="7" s="1"/>
  <c r="AJ59" i="7"/>
  <c r="AI59" i="7"/>
  <c r="AK58" i="7"/>
  <c r="AL58" i="7" s="1"/>
  <c r="AJ58" i="7"/>
  <c r="AI58" i="7"/>
  <c r="AK57" i="7"/>
  <c r="AL57" i="7" s="1"/>
  <c r="AJ57" i="7"/>
  <c r="AI57" i="7"/>
  <c r="AK56" i="7"/>
  <c r="AL56" i="7" s="1"/>
  <c r="AJ56" i="7"/>
  <c r="AI56" i="7"/>
  <c r="AK55" i="7"/>
  <c r="AL55" i="7" s="1"/>
  <c r="AJ55" i="7"/>
  <c r="AI55" i="7"/>
  <c r="AK54" i="7"/>
  <c r="AL54" i="7" s="1"/>
  <c r="AJ54" i="7"/>
  <c r="AI54" i="7"/>
  <c r="AK53" i="7"/>
  <c r="AL53" i="7" s="1"/>
  <c r="AJ53" i="7"/>
  <c r="AI53" i="7"/>
  <c r="AK52" i="7"/>
  <c r="AL52" i="7" s="1"/>
  <c r="AJ52" i="7"/>
  <c r="AI52" i="7"/>
  <c r="AK51" i="7"/>
  <c r="AL51" i="7" s="1"/>
  <c r="AJ51" i="7"/>
  <c r="AI51" i="7"/>
  <c r="AK50" i="7"/>
  <c r="AL50" i="7" s="1"/>
  <c r="AJ50" i="7"/>
  <c r="AI50" i="7"/>
  <c r="AK49" i="7"/>
  <c r="AL49" i="7" s="1"/>
  <c r="AJ49" i="7"/>
  <c r="AI49" i="7"/>
  <c r="AK48" i="7"/>
  <c r="AL48" i="7" s="1"/>
  <c r="AJ48" i="7"/>
  <c r="AI48" i="7"/>
  <c r="AK47" i="7"/>
  <c r="AL47" i="7" s="1"/>
  <c r="AJ47" i="7"/>
  <c r="AI47" i="7"/>
  <c r="AK46" i="7"/>
  <c r="AL46" i="7" s="1"/>
  <c r="AJ46" i="7"/>
  <c r="AI46" i="7"/>
  <c r="AK45" i="7"/>
  <c r="AL45" i="7" s="1"/>
  <c r="AJ45" i="7"/>
  <c r="AI45" i="7"/>
  <c r="AK44" i="7"/>
  <c r="AL44" i="7" s="1"/>
  <c r="AJ44" i="7"/>
  <c r="AI44" i="7"/>
  <c r="AK43" i="7"/>
  <c r="AL43" i="7" s="1"/>
  <c r="AJ43" i="7"/>
  <c r="AI43" i="7"/>
  <c r="AK42" i="7"/>
  <c r="AL42" i="7" s="1"/>
  <c r="AJ42" i="7"/>
  <c r="AI42" i="7"/>
  <c r="AK41" i="7"/>
  <c r="AL41" i="7" s="1"/>
  <c r="AJ41" i="7"/>
  <c r="AI41" i="7"/>
  <c r="AK40" i="7"/>
  <c r="AL40" i="7" s="1"/>
  <c r="AJ40" i="7"/>
  <c r="AI40" i="7"/>
  <c r="AK39" i="7"/>
  <c r="AL39" i="7" s="1"/>
  <c r="AJ39" i="7"/>
  <c r="AI39" i="7"/>
  <c r="AK38" i="7"/>
  <c r="AL38" i="7" s="1"/>
  <c r="AJ38" i="7"/>
  <c r="AI38" i="7"/>
  <c r="AK37" i="7"/>
  <c r="AL37" i="7" s="1"/>
  <c r="AJ37" i="7"/>
  <c r="AI37" i="7"/>
  <c r="AK36" i="7"/>
  <c r="AL36" i="7" s="1"/>
  <c r="AJ36" i="7"/>
  <c r="AI36" i="7"/>
  <c r="AK35" i="7"/>
  <c r="AL35" i="7" s="1"/>
  <c r="AJ35" i="7"/>
  <c r="AI35" i="7"/>
  <c r="AK34" i="7"/>
  <c r="AL34" i="7" s="1"/>
  <c r="AJ34" i="7"/>
  <c r="AI34" i="7"/>
  <c r="AK33" i="7"/>
  <c r="AL33" i="7" s="1"/>
  <c r="AJ33" i="7"/>
  <c r="AI33" i="7"/>
  <c r="AK32" i="7"/>
  <c r="AL32" i="7" s="1"/>
  <c r="AJ32" i="7"/>
  <c r="AI32" i="7"/>
  <c r="AK31" i="7"/>
  <c r="AL31" i="7" s="1"/>
  <c r="AJ31" i="7"/>
  <c r="AI31" i="7"/>
  <c r="AK30" i="7"/>
  <c r="AL30" i="7" s="1"/>
  <c r="AJ30" i="7"/>
  <c r="AI30" i="7"/>
  <c r="AK29" i="7"/>
  <c r="AL29" i="7" s="1"/>
  <c r="AJ29" i="7"/>
  <c r="AI29" i="7"/>
  <c r="AK28" i="7"/>
  <c r="AL28" i="7" s="1"/>
  <c r="AJ28" i="7"/>
  <c r="AI28" i="7"/>
  <c r="AK27" i="7"/>
  <c r="AL27" i="7" s="1"/>
  <c r="AJ27" i="7"/>
  <c r="AI27" i="7"/>
  <c r="AK26" i="7"/>
  <c r="AL26" i="7" s="1"/>
  <c r="AJ26" i="7"/>
  <c r="AI26" i="7"/>
  <c r="AK25" i="7"/>
  <c r="AL25" i="7" s="1"/>
  <c r="AJ25" i="7"/>
  <c r="AI25" i="7"/>
  <c r="AK24" i="7"/>
  <c r="AL24" i="7" s="1"/>
  <c r="AJ24" i="7"/>
  <c r="AI24" i="7"/>
  <c r="AK23" i="7"/>
  <c r="AL23" i="7" s="1"/>
  <c r="AJ23" i="7"/>
  <c r="AI23" i="7"/>
  <c r="AK22" i="7"/>
  <c r="AL22" i="7" s="1"/>
  <c r="AJ22" i="7"/>
  <c r="AI22" i="7"/>
  <c r="AK21" i="7"/>
  <c r="AL21" i="7" s="1"/>
  <c r="AJ21" i="7"/>
  <c r="AI21" i="7"/>
  <c r="AK20" i="7"/>
  <c r="AL20" i="7" s="1"/>
  <c r="AJ20" i="7"/>
  <c r="AI20" i="7"/>
  <c r="AK19" i="7"/>
  <c r="AL19" i="7" s="1"/>
  <c r="AJ19" i="7"/>
  <c r="AI19" i="7"/>
  <c r="AK18" i="7"/>
  <c r="AL18" i="7" s="1"/>
  <c r="AJ18" i="7"/>
  <c r="AI18" i="7"/>
  <c r="AK17" i="7"/>
  <c r="AL17" i="7" s="1"/>
  <c r="AJ17" i="7"/>
  <c r="AI17" i="7"/>
  <c r="AK16" i="7"/>
  <c r="AL16" i="7" s="1"/>
  <c r="AJ16" i="7"/>
  <c r="AI16" i="7"/>
  <c r="AK15" i="7"/>
  <c r="AL15" i="7" s="1"/>
  <c r="AJ15" i="7"/>
  <c r="AI15" i="7"/>
  <c r="AK14" i="7"/>
  <c r="AL14" i="7" s="1"/>
  <c r="AJ14" i="7"/>
  <c r="AI14" i="7"/>
  <c r="AK13" i="7"/>
  <c r="AL13" i="7" s="1"/>
  <c r="AJ13" i="7"/>
  <c r="AI13" i="7"/>
  <c r="AK12" i="7"/>
  <c r="AL12" i="7" s="1"/>
  <c r="AJ12" i="7"/>
  <c r="AI12" i="7"/>
  <c r="AK11" i="7"/>
  <c r="AL11" i="7" s="1"/>
  <c r="AJ11" i="7"/>
  <c r="AI11" i="7"/>
  <c r="AK10" i="7"/>
  <c r="AL10" i="7" s="1"/>
  <c r="AJ10" i="7"/>
  <c r="AI10" i="7"/>
  <c r="AK9" i="7"/>
  <c r="AL9" i="7" s="1"/>
  <c r="AJ9" i="7"/>
  <c r="AI9" i="7"/>
  <c r="AK8" i="7"/>
  <c r="AL8" i="7" s="1"/>
  <c r="AJ8" i="7"/>
  <c r="AI8" i="7"/>
  <c r="AK7" i="7"/>
  <c r="AL7" i="7" s="1"/>
  <c r="AJ7" i="7"/>
  <c r="AI7" i="7"/>
  <c r="AK6" i="7"/>
  <c r="AL6" i="7" s="1"/>
  <c r="AJ6" i="7"/>
  <c r="AI6" i="7"/>
  <c r="AK5" i="7"/>
  <c r="AL5" i="7" s="1"/>
  <c r="AJ5" i="7"/>
  <c r="AI5" i="7"/>
  <c r="AK4" i="7"/>
  <c r="AL4" i="7" s="1"/>
  <c r="AJ4" i="7"/>
  <c r="AI4" i="7"/>
  <c r="AK3" i="7"/>
  <c r="AL3" i="7" s="1"/>
  <c r="AJ3" i="7"/>
  <c r="AI3" i="7"/>
  <c r="AK2" i="7"/>
  <c r="AL2" i="7" s="1"/>
  <c r="AJ2" i="7"/>
  <c r="AI2" i="7"/>
  <c r="AM352" i="7"/>
  <c r="AM351" i="7"/>
  <c r="AM350" i="7"/>
  <c r="AM349" i="7"/>
  <c r="AM348" i="7"/>
  <c r="AM347" i="7"/>
  <c r="AM346" i="7"/>
  <c r="AM345" i="7"/>
  <c r="AM344" i="7"/>
  <c r="AM343" i="7"/>
  <c r="AM342" i="7"/>
  <c r="AM341" i="7"/>
  <c r="AM340" i="7"/>
  <c r="AM339" i="7"/>
  <c r="AM338" i="7"/>
  <c r="AM337" i="7"/>
  <c r="AM336" i="7"/>
  <c r="AM335" i="7"/>
  <c r="AM334" i="7"/>
  <c r="AM333" i="7"/>
  <c r="AM332" i="7"/>
  <c r="AM331" i="7"/>
  <c r="AM330" i="7"/>
  <c r="AM329" i="7"/>
  <c r="AM328" i="7"/>
  <c r="AM327" i="7"/>
  <c r="AM326" i="7"/>
  <c r="AM325" i="7"/>
  <c r="AM324" i="7"/>
  <c r="AM323" i="7"/>
  <c r="AM322" i="7"/>
  <c r="AM321" i="7"/>
  <c r="AM320" i="7"/>
  <c r="AM319" i="7"/>
  <c r="AM318" i="7"/>
  <c r="AM317" i="7"/>
  <c r="AM316" i="7"/>
  <c r="AM315" i="7"/>
  <c r="AM314" i="7"/>
  <c r="AM313" i="7"/>
  <c r="AM312" i="7"/>
  <c r="AM311" i="7"/>
  <c r="AM310" i="7"/>
  <c r="AM309" i="7"/>
  <c r="AM308" i="7"/>
  <c r="AM307" i="7"/>
  <c r="AM306" i="7"/>
  <c r="AM305" i="7"/>
  <c r="AM304" i="7"/>
  <c r="AM303" i="7"/>
  <c r="AM302" i="7"/>
  <c r="AM301" i="7"/>
  <c r="AM300" i="7"/>
  <c r="AM299" i="7"/>
  <c r="AM298" i="7"/>
  <c r="AM297" i="7"/>
  <c r="AM296" i="7"/>
  <c r="AM295" i="7"/>
  <c r="AM294" i="7"/>
  <c r="AM293" i="7"/>
  <c r="AM292" i="7"/>
  <c r="AM291" i="7"/>
  <c r="AM290" i="7"/>
  <c r="AM289" i="7"/>
  <c r="AM288" i="7"/>
  <c r="AM287" i="7"/>
  <c r="AM286" i="7"/>
  <c r="AM285" i="7"/>
  <c r="AM284" i="7"/>
  <c r="AM283" i="7"/>
  <c r="AM282" i="7"/>
  <c r="AM281" i="7"/>
  <c r="AM280" i="7"/>
  <c r="AM279" i="7"/>
  <c r="AM278" i="7"/>
  <c r="AM277" i="7"/>
  <c r="AM276" i="7"/>
  <c r="AM275" i="7"/>
  <c r="AM274" i="7"/>
  <c r="AM273" i="7"/>
  <c r="AM272" i="7"/>
  <c r="AM271" i="7"/>
  <c r="AM270" i="7"/>
  <c r="AM269" i="7"/>
  <c r="AM268" i="7"/>
  <c r="AM267" i="7"/>
  <c r="AM266" i="7"/>
  <c r="AM265" i="7"/>
  <c r="AM264" i="7"/>
  <c r="AM263" i="7"/>
  <c r="AM262" i="7"/>
  <c r="AM261" i="7"/>
  <c r="AM260" i="7"/>
  <c r="AM259" i="7"/>
  <c r="AM258" i="7"/>
  <c r="AM257" i="7"/>
  <c r="AM256" i="7"/>
  <c r="AM255" i="7"/>
  <c r="AM254" i="7"/>
  <c r="AM253" i="7"/>
  <c r="AM252" i="7"/>
  <c r="AM251" i="7"/>
  <c r="AM250" i="7"/>
  <c r="AM249" i="7"/>
  <c r="AM248" i="7"/>
  <c r="AM247" i="7"/>
  <c r="AM246" i="7"/>
  <c r="AM245" i="7"/>
  <c r="AM244" i="7"/>
  <c r="AM243" i="7"/>
  <c r="AM242" i="7"/>
  <c r="AM241" i="7"/>
  <c r="AM240" i="7"/>
  <c r="AM239" i="7"/>
  <c r="AM238" i="7"/>
  <c r="AM237" i="7"/>
  <c r="AM236" i="7"/>
  <c r="AM235" i="7"/>
  <c r="AM234" i="7"/>
  <c r="AM233" i="7"/>
  <c r="AM232" i="7"/>
  <c r="AM231" i="7"/>
  <c r="AM230" i="7"/>
  <c r="AM229" i="7"/>
  <c r="AM228" i="7"/>
  <c r="AM227" i="7"/>
  <c r="AM226" i="7"/>
  <c r="AM225" i="7"/>
  <c r="AM224" i="7"/>
  <c r="AM223" i="7"/>
  <c r="AM222" i="7"/>
  <c r="AM221" i="7"/>
  <c r="AM220" i="7"/>
  <c r="AM219" i="7"/>
  <c r="AM218" i="7"/>
  <c r="AM217" i="7"/>
  <c r="AM216" i="7"/>
  <c r="AM215" i="7"/>
  <c r="AM214" i="7"/>
  <c r="AM213" i="7"/>
  <c r="AM212" i="7"/>
  <c r="AM211" i="7"/>
  <c r="AM210" i="7"/>
  <c r="AM209" i="7"/>
  <c r="AM208" i="7"/>
  <c r="AM207" i="7"/>
  <c r="AM206" i="7"/>
  <c r="AM205" i="7"/>
  <c r="AM204" i="7"/>
  <c r="AM203" i="7"/>
  <c r="AM202" i="7"/>
  <c r="AM201" i="7"/>
  <c r="AM200" i="7"/>
  <c r="AM199" i="7"/>
  <c r="AM198" i="7"/>
  <c r="AM197" i="7"/>
  <c r="AM196" i="7"/>
  <c r="AM195" i="7"/>
  <c r="AM194" i="7"/>
  <c r="AM193" i="7"/>
  <c r="AM192" i="7"/>
  <c r="AM191" i="7"/>
  <c r="AM190" i="7"/>
  <c r="AM189" i="7"/>
  <c r="AM188" i="7"/>
  <c r="AM187" i="7"/>
  <c r="AM186" i="7"/>
  <c r="AM185" i="7"/>
  <c r="AM184" i="7"/>
  <c r="AM183" i="7"/>
  <c r="AM182" i="7"/>
  <c r="AM181" i="7"/>
  <c r="AM180" i="7"/>
  <c r="AM179" i="7"/>
  <c r="AM178" i="7"/>
  <c r="AM177" i="7"/>
  <c r="AM176" i="7"/>
  <c r="AM175" i="7"/>
  <c r="AM174" i="7"/>
  <c r="AM173" i="7"/>
  <c r="AM172" i="7"/>
  <c r="AM171" i="7"/>
  <c r="AM170" i="7"/>
  <c r="AM169" i="7"/>
  <c r="AM168" i="7"/>
  <c r="AM167" i="7"/>
  <c r="AM166" i="7"/>
  <c r="AM165" i="7"/>
  <c r="AM164" i="7"/>
  <c r="AM163" i="7"/>
  <c r="AM162" i="7"/>
  <c r="AM161" i="7"/>
  <c r="AM160" i="7"/>
  <c r="AM159" i="7"/>
  <c r="AM158" i="7"/>
  <c r="AM157" i="7"/>
  <c r="AM156" i="7"/>
  <c r="AM155" i="7"/>
  <c r="AM154" i="7"/>
  <c r="AM153" i="7"/>
  <c r="AM152" i="7"/>
  <c r="AM151" i="7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M133" i="7"/>
  <c r="AM132" i="7"/>
  <c r="AM131" i="7"/>
  <c r="AM130" i="7"/>
  <c r="AM129" i="7"/>
  <c r="AM128" i="7"/>
  <c r="AM127" i="7"/>
  <c r="AM126" i="7"/>
  <c r="AM125" i="7"/>
  <c r="AM124" i="7"/>
  <c r="AM123" i="7"/>
  <c r="AM122" i="7"/>
  <c r="AM121" i="7"/>
  <c r="AM120" i="7"/>
  <c r="AM119" i="7"/>
  <c r="AM118" i="7"/>
  <c r="AM117" i="7"/>
  <c r="AM116" i="7"/>
  <c r="AM115" i="7"/>
  <c r="AM114" i="7"/>
  <c r="AM113" i="7"/>
  <c r="AM112" i="7"/>
  <c r="AM111" i="7"/>
  <c r="AM110" i="7"/>
  <c r="AM109" i="7"/>
  <c r="AM108" i="7"/>
  <c r="AM107" i="7"/>
  <c r="AM106" i="7"/>
  <c r="AM105" i="7"/>
  <c r="AM104" i="7"/>
  <c r="AM103" i="7"/>
  <c r="AM102" i="7"/>
  <c r="AM101" i="7"/>
  <c r="AM100" i="7"/>
  <c r="AM99" i="7"/>
  <c r="AM98" i="7"/>
  <c r="AM97" i="7"/>
  <c r="AM96" i="7"/>
  <c r="AM94" i="7"/>
  <c r="AM93" i="7"/>
  <c r="AM92" i="7"/>
  <c r="AM91" i="7"/>
  <c r="AM90" i="7"/>
  <c r="AM89" i="7"/>
  <c r="AM87" i="7"/>
  <c r="AM86" i="7"/>
  <c r="AM85" i="7"/>
  <c r="AM84" i="7"/>
  <c r="AM83" i="7"/>
  <c r="AM81" i="7"/>
  <c r="AM80" i="7"/>
  <c r="AM79" i="7"/>
  <c r="AM78" i="7"/>
  <c r="AM77" i="7"/>
  <c r="AM76" i="7"/>
  <c r="AM75" i="7"/>
  <c r="AM74" i="7"/>
  <c r="AM73" i="7"/>
  <c r="AM72" i="7"/>
  <c r="AM71" i="7"/>
  <c r="AM70" i="7"/>
  <c r="AM69" i="7"/>
  <c r="AM68" i="7"/>
  <c r="AM67" i="7"/>
  <c r="AM66" i="7"/>
  <c r="AM65" i="7"/>
  <c r="AM64" i="7"/>
  <c r="AM63" i="7"/>
  <c r="AM62" i="7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2" i="7"/>
  <c r="AM31" i="7"/>
  <c r="AM30" i="7"/>
  <c r="AM29" i="7"/>
  <c r="AM28" i="7"/>
  <c r="AM27" i="7"/>
  <c r="AM26" i="7"/>
  <c r="AM25" i="7"/>
  <c r="AM23" i="7"/>
  <c r="AM22" i="7"/>
  <c r="AM21" i="7"/>
  <c r="AM20" i="7"/>
  <c r="AM19" i="7"/>
  <c r="AM18" i="7"/>
  <c r="AM17" i="7"/>
  <c r="AM16" i="7"/>
  <c r="AM15" i="7"/>
  <c r="AM14" i="7"/>
  <c r="AM11" i="7"/>
  <c r="AM10" i="7"/>
  <c r="AM8" i="7"/>
  <c r="AM5" i="7"/>
  <c r="AM4" i="7"/>
  <c r="AM3" i="7"/>
  <c r="AM2" i="7"/>
  <c r="AM6" i="7" l="1"/>
  <c r="AM7" i="7"/>
  <c r="AM9" i="7" l="1"/>
  <c r="AM12" i="7" s="1"/>
  <c r="AM13" i="7" l="1"/>
  <c r="AM24" i="7" s="1"/>
  <c r="AM33" i="7" l="1"/>
  <c r="AM34" i="7" s="1"/>
  <c r="AM61" i="7" l="1"/>
  <c r="B305" i="4"/>
  <c r="B304" i="4"/>
  <c r="B200" i="4"/>
  <c r="AM82" i="7" l="1"/>
  <c r="D208" i="4"/>
  <c r="C206" i="4"/>
  <c r="C205" i="4"/>
  <c r="B203" i="4"/>
  <c r="AM88" i="7" l="1"/>
  <c r="F27" i="8" a="1"/>
  <c r="F27" i="8" s="1"/>
  <c r="F252" i="8" a="1"/>
  <c r="F252" i="8" s="1"/>
  <c r="F42" i="8" a="1"/>
  <c r="F42" i="8" s="1"/>
  <c r="F249" i="8" a="1"/>
  <c r="F249" i="8" s="1"/>
  <c r="F288" i="8" a="1"/>
  <c r="F288" i="8" s="1"/>
  <c r="F123" i="8" a="1"/>
  <c r="F123" i="8" s="1"/>
  <c r="F336" i="8" a="1"/>
  <c r="F336" i="8" s="1"/>
  <c r="F33" i="8" a="1"/>
  <c r="F33" i="8" s="1"/>
  <c r="AM95" i="7"/>
  <c r="F9" i="8" a="1"/>
  <c r="F9" i="8" s="1"/>
  <c r="D142" i="8" l="1"/>
  <c r="E126" i="8"/>
  <c r="E123" i="8"/>
  <c r="E120" i="8"/>
  <c r="E117" i="8"/>
  <c r="F208" i="8"/>
  <c r="E24" i="8"/>
  <c r="E6" i="8"/>
  <c r="D28" i="8"/>
  <c r="C27" i="8"/>
  <c r="E27" i="8"/>
  <c r="F255" i="8" a="1"/>
  <c r="F255" i="8" s="1"/>
  <c r="D145" i="8"/>
  <c r="D139" i="8"/>
  <c r="D136" i="8"/>
  <c r="D133" i="8"/>
  <c r="D130" i="8"/>
  <c r="D138" i="8"/>
  <c r="D132" i="8"/>
  <c r="D126" i="8"/>
  <c r="D120" i="8"/>
  <c r="D114" i="8"/>
  <c r="D108" i="8"/>
  <c r="D96" i="8"/>
  <c r="D90" i="8"/>
  <c r="D84" i="8"/>
  <c r="D81" i="8"/>
  <c r="D69" i="8"/>
  <c r="D24" i="8"/>
  <c r="D102" i="8"/>
  <c r="D75" i="8"/>
  <c r="D127" i="8"/>
  <c r="D19" i="8"/>
  <c r="D16" i="8"/>
  <c r="D13" i="8"/>
  <c r="B13" i="8"/>
  <c r="F13" i="8"/>
  <c r="D26" i="8"/>
  <c r="D124" i="8"/>
  <c r="D121" i="8"/>
  <c r="D118" i="8"/>
  <c r="D115" i="8"/>
  <c r="D112" i="8"/>
  <c r="F15" i="8" a="1"/>
  <c r="F15" i="8" s="1"/>
  <c r="B12" i="8"/>
  <c r="B14" i="8" s="1"/>
  <c r="E29" i="8"/>
  <c r="D15" i="8"/>
  <c r="F29" i="8"/>
  <c r="F23" i="8"/>
  <c r="F14" i="8"/>
  <c r="F19" i="8"/>
  <c r="E14" i="8"/>
  <c r="F135" i="8" a="1"/>
  <c r="F135" i="8" s="1"/>
  <c r="D17" i="8"/>
  <c r="E26" i="8"/>
  <c r="F28" i="8"/>
  <c r="F25" i="8"/>
  <c r="E17" i="8"/>
  <c r="B28" i="8"/>
  <c r="B27" i="8"/>
  <c r="B29" i="8" s="1"/>
  <c r="B25" i="8"/>
  <c r="B24" i="8"/>
  <c r="B26" i="8" s="1"/>
  <c r="B22" i="8"/>
  <c r="B21" i="8"/>
  <c r="B23" i="8" s="1"/>
  <c r="B19" i="8"/>
  <c r="B18" i="8"/>
  <c r="B20" i="8" s="1"/>
  <c r="B16" i="8"/>
  <c r="B15" i="8"/>
  <c r="B17" i="8" s="1"/>
  <c r="E23" i="8"/>
  <c r="D27" i="8"/>
  <c r="D21" i="8"/>
  <c r="F26" i="8"/>
  <c r="F20" i="8"/>
  <c r="F22" i="8"/>
  <c r="F16" i="8"/>
  <c r="D29" i="8"/>
  <c r="D23" i="8"/>
  <c r="D20" i="8"/>
  <c r="D14" i="8"/>
  <c r="E20" i="8"/>
  <c r="F17" i="8"/>
  <c r="F21" i="8" a="1"/>
  <c r="F21" i="8" s="1"/>
  <c r="E21" i="8"/>
  <c r="E18" i="8"/>
  <c r="E15" i="8"/>
  <c r="E12" i="8"/>
  <c r="E9" i="8"/>
  <c r="F18" i="8" a="1"/>
  <c r="F18" i="8" s="1"/>
  <c r="C24" i="8"/>
  <c r="C18" i="8"/>
  <c r="C12" i="8"/>
  <c r="C6" i="8"/>
  <c r="D18" i="8"/>
  <c r="D12" i="8"/>
  <c r="D6" i="8"/>
  <c r="C9" i="8"/>
  <c r="C21" i="8"/>
  <c r="C15" i="8"/>
  <c r="D25" i="8"/>
  <c r="D22" i="8"/>
  <c r="D10" i="8"/>
  <c r="D7" i="8"/>
  <c r="B10" i="8"/>
  <c r="F24" i="8" a="1"/>
  <c r="F24" i="8" s="1"/>
  <c r="B9" i="8"/>
  <c r="B11" i="8" s="1"/>
  <c r="B7" i="8"/>
  <c r="B6" i="8"/>
  <c r="B8" i="8" s="1"/>
  <c r="E11" i="8"/>
  <c r="E8" i="8"/>
  <c r="D9" i="8"/>
  <c r="F11" i="8"/>
  <c r="F8" i="8"/>
  <c r="F12" i="8" a="1"/>
  <c r="F12" i="8" s="1"/>
  <c r="F10" i="8"/>
  <c r="D11" i="8"/>
  <c r="D8" i="8"/>
  <c r="F7" i="8"/>
  <c r="F6" i="8" a="1"/>
  <c r="F6" i="8" s="1"/>
  <c r="F267" i="8" a="1"/>
  <c r="F267" i="8" s="1"/>
  <c r="F138" i="8" a="1"/>
  <c r="F138" i="8" s="1"/>
  <c r="F237" i="8" a="1"/>
  <c r="F237" i="8" s="1"/>
  <c r="F129" i="8" a="1"/>
  <c r="F129" i="8" s="1"/>
  <c r="C42" i="8"/>
  <c r="C60" i="8"/>
  <c r="C63" i="8"/>
  <c r="C66" i="8"/>
  <c r="C69" i="8"/>
  <c r="F261" i="8" a="1"/>
  <c r="F261" i="8" s="1"/>
  <c r="F165" i="8" a="1"/>
  <c r="F165" i="8" s="1"/>
  <c r="F177" i="8" a="1"/>
  <c r="F177" i="8" s="1"/>
  <c r="F66" i="8" a="1"/>
  <c r="F66" i="8" s="1"/>
  <c r="F270" i="8" a="1"/>
  <c r="F270" i="8" s="1"/>
  <c r="F282" i="8" a="1"/>
  <c r="F282" i="8" s="1"/>
  <c r="F97" i="8"/>
  <c r="F48" i="8" a="1"/>
  <c r="F48" i="8" s="1"/>
  <c r="E173" i="8"/>
  <c r="F303" i="8" a="1"/>
  <c r="F303" i="8" s="1"/>
  <c r="F291" i="8" a="1"/>
  <c r="F291" i="8" s="1"/>
  <c r="C168" i="8"/>
  <c r="C174" i="8"/>
  <c r="F231" i="8" a="1"/>
  <c r="F231" i="8" s="1"/>
  <c r="F259" i="8"/>
  <c r="F262" i="8"/>
  <c r="F265" i="8"/>
  <c r="F268" i="8"/>
  <c r="F271" i="8"/>
  <c r="F274" i="8"/>
  <c r="F277" i="8"/>
  <c r="F280" i="8"/>
  <c r="F283" i="8"/>
  <c r="F286" i="8"/>
  <c r="F289" i="8"/>
  <c r="F292" i="8"/>
  <c r="F295" i="8"/>
  <c r="F298" i="8"/>
  <c r="F301" i="8"/>
  <c r="F304" i="8"/>
  <c r="F307" i="8"/>
  <c r="F310" i="8"/>
  <c r="F313" i="8"/>
  <c r="F316" i="8"/>
  <c r="F319" i="8"/>
  <c r="F322" i="8"/>
  <c r="F325" i="8"/>
  <c r="F328" i="8"/>
  <c r="F331" i="8"/>
  <c r="F334" i="8"/>
  <c r="F337" i="8"/>
  <c r="F340" i="8"/>
  <c r="F189" i="8" a="1"/>
  <c r="F189" i="8" s="1"/>
  <c r="C213" i="8"/>
  <c r="C216" i="8"/>
  <c r="C219" i="8"/>
  <c r="C222" i="8"/>
  <c r="C225" i="8"/>
  <c r="C228" i="8"/>
  <c r="C231" i="8"/>
  <c r="C234" i="8"/>
  <c r="C237" i="8"/>
  <c r="C240" i="8"/>
  <c r="C243" i="8"/>
  <c r="C246" i="8"/>
  <c r="C249" i="8"/>
  <c r="C252" i="8"/>
  <c r="C255" i="8"/>
  <c r="C258" i="8"/>
  <c r="C261" i="8"/>
  <c r="C264" i="8"/>
  <c r="C267" i="8"/>
  <c r="C270" i="8"/>
  <c r="C273" i="8"/>
  <c r="C276" i="8"/>
  <c r="C279" i="8"/>
  <c r="C282" i="8"/>
  <c r="C285" i="8"/>
  <c r="C288" i="8"/>
  <c r="C291" i="8"/>
  <c r="C294" i="8"/>
  <c r="C297" i="8"/>
  <c r="C300" i="8"/>
  <c r="C303" i="8"/>
  <c r="F93" i="8" a="1"/>
  <c r="F93" i="8" s="1"/>
  <c r="D148" i="8"/>
  <c r="D151" i="8"/>
  <c r="D154" i="8"/>
  <c r="D157" i="8"/>
  <c r="D160" i="8"/>
  <c r="D163" i="8"/>
  <c r="D166" i="8"/>
  <c r="D169" i="8"/>
  <c r="D172" i="8"/>
  <c r="D175" i="8"/>
  <c r="F147" i="8" a="1"/>
  <c r="F147" i="8" s="1"/>
  <c r="D178" i="8"/>
  <c r="F99" i="8" a="1"/>
  <c r="F99" i="8" s="1"/>
  <c r="F69" i="8" a="1"/>
  <c r="F69" i="8" s="1"/>
  <c r="F211" i="8"/>
  <c r="F214" i="8"/>
  <c r="F217" i="8"/>
  <c r="F220" i="8"/>
  <c r="F174" i="8" a="1"/>
  <c r="F174" i="8" s="1"/>
  <c r="F100" i="8"/>
  <c r="F103" i="8"/>
  <c r="C189" i="8"/>
  <c r="C195" i="8"/>
  <c r="C201" i="8"/>
  <c r="C207" i="8"/>
  <c r="E146" i="8"/>
  <c r="E149" i="8"/>
  <c r="E152" i="8"/>
  <c r="E155" i="8"/>
  <c r="E158" i="8"/>
  <c r="E161" i="8"/>
  <c r="E164" i="8"/>
  <c r="E167" i="8"/>
  <c r="E170" i="8"/>
  <c r="D225" i="8"/>
  <c r="F78" i="8" a="1"/>
  <c r="F78" i="8" s="1"/>
  <c r="F204" i="8" a="1"/>
  <c r="F204" i="8" s="1"/>
  <c r="D213" i="8"/>
  <c r="D219" i="8"/>
  <c r="F106" i="8"/>
  <c r="D231" i="8"/>
  <c r="D237" i="8"/>
  <c r="D243" i="8"/>
  <c r="D249" i="8"/>
  <c r="D255" i="8"/>
  <c r="D261" i="8"/>
  <c r="D267" i="8"/>
  <c r="D273" i="8"/>
  <c r="D279" i="8"/>
  <c r="D285" i="8"/>
  <c r="D291" i="8"/>
  <c r="D294" i="8"/>
  <c r="D300" i="8"/>
  <c r="D306" i="8"/>
  <c r="D312" i="8"/>
  <c r="D318" i="8"/>
  <c r="D324" i="8"/>
  <c r="D333" i="8"/>
  <c r="D339" i="8"/>
  <c r="C30" i="8"/>
  <c r="C33" i="8"/>
  <c r="C39" i="8"/>
  <c r="C45" i="8"/>
  <c r="C48" i="8"/>
  <c r="C51" i="8"/>
  <c r="C54" i="8"/>
  <c r="C57" i="8"/>
  <c r="C81" i="8"/>
  <c r="C87" i="8"/>
  <c r="C93" i="8"/>
  <c r="C99" i="8"/>
  <c r="C105" i="8"/>
  <c r="C111" i="8"/>
  <c r="F222" i="8" a="1"/>
  <c r="F222" i="8" s="1"/>
  <c r="F96" i="8" a="1"/>
  <c r="F96" i="8" s="1"/>
  <c r="E209" i="8"/>
  <c r="E212" i="8"/>
  <c r="F312" i="8" a="1"/>
  <c r="F312" i="8" s="1"/>
  <c r="E215" i="8"/>
  <c r="E218" i="8"/>
  <c r="E221" i="8"/>
  <c r="E224" i="8"/>
  <c r="E227" i="8"/>
  <c r="E230" i="8"/>
  <c r="E233" i="8"/>
  <c r="E236" i="8"/>
  <c r="E239" i="8"/>
  <c r="E242" i="8"/>
  <c r="E245" i="8"/>
  <c r="E248" i="8"/>
  <c r="F160" i="8"/>
  <c r="F163" i="8"/>
  <c r="F166" i="8"/>
  <c r="F169" i="8"/>
  <c r="F172" i="8"/>
  <c r="F175" i="8"/>
  <c r="F178" i="8"/>
  <c r="F87" i="8" a="1"/>
  <c r="F87" i="8" s="1"/>
  <c r="F181" i="8"/>
  <c r="F184" i="8"/>
  <c r="F187" i="8"/>
  <c r="F190" i="8"/>
  <c r="F193" i="8"/>
  <c r="F196" i="8"/>
  <c r="F199" i="8"/>
  <c r="F202" i="8"/>
  <c r="F205" i="8"/>
  <c r="F228" i="8" a="1"/>
  <c r="F228" i="8" s="1"/>
  <c r="F109" i="8"/>
  <c r="F112" i="8"/>
  <c r="F115" i="8"/>
  <c r="F285" i="8" a="1"/>
  <c r="F285" i="8" s="1"/>
  <c r="C135" i="8"/>
  <c r="C141" i="8"/>
  <c r="C147" i="8"/>
  <c r="C153" i="8"/>
  <c r="C159" i="8"/>
  <c r="C165" i="8"/>
  <c r="C171" i="8"/>
  <c r="C177" i="8"/>
  <c r="C183" i="8"/>
  <c r="F126" i="8" a="1"/>
  <c r="F126" i="8" s="1"/>
  <c r="E260" i="8"/>
  <c r="E263" i="8"/>
  <c r="E266" i="8"/>
  <c r="E269" i="8"/>
  <c r="E272" i="8"/>
  <c r="E275" i="8"/>
  <c r="E278" i="8"/>
  <c r="E281" i="8"/>
  <c r="E284" i="8"/>
  <c r="E287" i="8"/>
  <c r="E290" i="8"/>
  <c r="E293" i="8"/>
  <c r="E296" i="8"/>
  <c r="F186" i="8" a="1"/>
  <c r="F186" i="8" s="1"/>
  <c r="F225" i="8" a="1"/>
  <c r="F225" i="8" s="1"/>
  <c r="E299" i="8"/>
  <c r="F120" i="8" a="1"/>
  <c r="F120" i="8" s="1"/>
  <c r="E302" i="8"/>
  <c r="E36" i="8"/>
  <c r="E39" i="8"/>
  <c r="E42" i="8"/>
  <c r="F51" i="8" a="1"/>
  <c r="F51" i="8" s="1"/>
  <c r="F30" i="8" a="1"/>
  <c r="F30" i="8" s="1"/>
  <c r="F240" i="8" a="1"/>
  <c r="F240" i="8" s="1"/>
  <c r="D109" i="8"/>
  <c r="D106" i="8"/>
  <c r="D103" i="8"/>
  <c r="D100" i="8"/>
  <c r="C162" i="8"/>
  <c r="C156" i="8"/>
  <c r="C150" i="8"/>
  <c r="C144" i="8"/>
  <c r="C138" i="8"/>
  <c r="C132" i="8"/>
  <c r="C126" i="8"/>
  <c r="F201" i="8" a="1"/>
  <c r="F201" i="8" s="1"/>
  <c r="F330" i="8" a="1"/>
  <c r="F330" i="8" s="1"/>
  <c r="C129" i="8"/>
  <c r="C123" i="8"/>
  <c r="C117" i="8"/>
  <c r="E206" i="8"/>
  <c r="E203" i="8"/>
  <c r="E200" i="8"/>
  <c r="E197" i="8"/>
  <c r="E194" i="8"/>
  <c r="E191" i="8"/>
  <c r="E188" i="8"/>
  <c r="E185" i="8"/>
  <c r="E182" i="8"/>
  <c r="E179" i="8"/>
  <c r="E176" i="8"/>
  <c r="F148" i="8"/>
  <c r="F145" i="8"/>
  <c r="F142" i="8"/>
  <c r="F139" i="8"/>
  <c r="F136" i="8"/>
  <c r="F133" i="8"/>
  <c r="F130" i="8"/>
  <c r="F127" i="8"/>
  <c r="F124" i="8"/>
  <c r="F121" i="8"/>
  <c r="F118" i="8"/>
  <c r="D97" i="8"/>
  <c r="D94" i="8"/>
  <c r="D91" i="8"/>
  <c r="F108" i="8" a="1"/>
  <c r="F108" i="8" s="1"/>
  <c r="D48" i="8"/>
  <c r="D42" i="8"/>
  <c r="B339" i="8"/>
  <c r="B341" i="8" s="1"/>
  <c r="B337" i="8"/>
  <c r="B336" i="8"/>
  <c r="B338" i="8" s="1"/>
  <c r="B334" i="8"/>
  <c r="B333" i="8"/>
  <c r="B335" i="8" s="1"/>
  <c r="B331" i="8"/>
  <c r="B330" i="8"/>
  <c r="B332" i="8" s="1"/>
  <c r="B328" i="8"/>
  <c r="B327" i="8"/>
  <c r="B329" i="8" s="1"/>
  <c r="B325" i="8"/>
  <c r="B324" i="8"/>
  <c r="B326" i="8" s="1"/>
  <c r="B322" i="8"/>
  <c r="B321" i="8"/>
  <c r="B323" i="8" s="1"/>
  <c r="B319" i="8"/>
  <c r="E257" i="8"/>
  <c r="E254" i="8"/>
  <c r="E251" i="8"/>
  <c r="C339" i="8"/>
  <c r="C336" i="8"/>
  <c r="C333" i="8"/>
  <c r="C330" i="8"/>
  <c r="C327" i="8"/>
  <c r="C324" i="8"/>
  <c r="C321" i="8"/>
  <c r="C318" i="8"/>
  <c r="C315" i="8"/>
  <c r="C312" i="8"/>
  <c r="C309" i="8"/>
  <c r="C306" i="8"/>
  <c r="B318" i="8"/>
  <c r="B320" i="8" s="1"/>
  <c r="B316" i="8"/>
  <c r="B315" i="8"/>
  <c r="B317" i="8" s="1"/>
  <c r="B313" i="8"/>
  <c r="B312" i="8"/>
  <c r="B314" i="8" s="1"/>
  <c r="B310" i="8"/>
  <c r="B309" i="8"/>
  <c r="B311" i="8" s="1"/>
  <c r="B307" i="8"/>
  <c r="B306" i="8"/>
  <c r="B308" i="8" s="1"/>
  <c r="B304" i="8"/>
  <c r="B303" i="8"/>
  <c r="B305" i="8" s="1"/>
  <c r="B301" i="8"/>
  <c r="B300" i="8"/>
  <c r="B302" i="8" s="1"/>
  <c r="B298" i="8"/>
  <c r="B297" i="8"/>
  <c r="B299" i="8" s="1"/>
  <c r="B295" i="8"/>
  <c r="B294" i="8"/>
  <c r="B296" i="8" s="1"/>
  <c r="B292" i="8"/>
  <c r="B291" i="8"/>
  <c r="B293" i="8" s="1"/>
  <c r="B289" i="8"/>
  <c r="B288" i="8"/>
  <c r="B290" i="8" s="1"/>
  <c r="B286" i="8"/>
  <c r="B285" i="8"/>
  <c r="B287" i="8" s="1"/>
  <c r="B283" i="8"/>
  <c r="B282" i="8"/>
  <c r="B284" i="8" s="1"/>
  <c r="B280" i="8"/>
  <c r="B279" i="8"/>
  <c r="B281" i="8" s="1"/>
  <c r="B277" i="8"/>
  <c r="B276" i="8"/>
  <c r="B278" i="8" s="1"/>
  <c r="B274" i="8"/>
  <c r="B273" i="8"/>
  <c r="B275" i="8" s="1"/>
  <c r="B271" i="8"/>
  <c r="B270" i="8"/>
  <c r="B272" i="8" s="1"/>
  <c r="B268" i="8"/>
  <c r="B267" i="8"/>
  <c r="B269" i="8" s="1"/>
  <c r="F318" i="8" a="1"/>
  <c r="F318" i="8" s="1"/>
  <c r="F297" i="8" a="1"/>
  <c r="F297" i="8" s="1"/>
  <c r="F102" i="8" a="1"/>
  <c r="F102" i="8" s="1"/>
  <c r="C72" i="8"/>
  <c r="C75" i="8"/>
  <c r="C78" i="8"/>
  <c r="C84" i="8"/>
  <c r="C90" i="8"/>
  <c r="C96" i="8"/>
  <c r="C102" i="8"/>
  <c r="C108" i="8"/>
  <c r="C114" i="8"/>
  <c r="C120" i="8"/>
  <c r="F150" i="8" a="1"/>
  <c r="F150" i="8" s="1"/>
  <c r="F195" i="8" a="1"/>
  <c r="F195" i="8" s="1"/>
  <c r="D155" i="8"/>
  <c r="D128" i="8"/>
  <c r="D107" i="8"/>
  <c r="D223" i="8"/>
  <c r="D208" i="8"/>
  <c r="B265" i="8"/>
  <c r="B264" i="8"/>
  <c r="B266" i="8" s="1"/>
  <c r="B192" i="8"/>
  <c r="B194" i="8" s="1"/>
  <c r="B189" i="8"/>
  <c r="B191" i="8" s="1"/>
  <c r="B186" i="8"/>
  <c r="B188" i="8" s="1"/>
  <c r="B183" i="8"/>
  <c r="B185" i="8" s="1"/>
  <c r="B180" i="8"/>
  <c r="B182" i="8" s="1"/>
  <c r="B177" i="8"/>
  <c r="B179" i="8" s="1"/>
  <c r="B174" i="8"/>
  <c r="B176" i="8" s="1"/>
  <c r="E143" i="8"/>
  <c r="F164" i="8"/>
  <c r="D92" i="8"/>
  <c r="D59" i="8"/>
  <c r="F37" i="8"/>
  <c r="F224" i="8"/>
  <c r="F182" i="8"/>
  <c r="D80" i="8"/>
  <c r="D211" i="8"/>
  <c r="F107" i="8"/>
  <c r="F101" i="8"/>
  <c r="F98" i="8"/>
  <c r="F92" i="8"/>
  <c r="F86" i="8"/>
  <c r="F80" i="8"/>
  <c r="F74" i="8"/>
  <c r="F68" i="8"/>
  <c r="F62" i="8"/>
  <c r="F56" i="8"/>
  <c r="F47" i="8"/>
  <c r="F41" i="8"/>
  <c r="F35" i="8"/>
  <c r="E339" i="8"/>
  <c r="E333" i="8"/>
  <c r="E327" i="8"/>
  <c r="E321" i="8"/>
  <c r="E315" i="8"/>
  <c r="E309" i="8"/>
  <c r="E279" i="8"/>
  <c r="E252" i="8"/>
  <c r="D140" i="8"/>
  <c r="E210" i="8"/>
  <c r="E186" i="8"/>
  <c r="E174" i="8"/>
  <c r="D283" i="8"/>
  <c r="E44" i="8"/>
  <c r="E38" i="8"/>
  <c r="E35" i="8"/>
  <c r="D173" i="8"/>
  <c r="D116" i="8"/>
  <c r="D220" i="8"/>
  <c r="D311" i="8"/>
  <c r="D305" i="8"/>
  <c r="D299" i="8"/>
  <c r="D290" i="8"/>
  <c r="D284" i="8"/>
  <c r="D281" i="8"/>
  <c r="D275" i="8"/>
  <c r="D266" i="8"/>
  <c r="D260" i="8"/>
  <c r="D254" i="8"/>
  <c r="D248" i="8"/>
  <c r="D242" i="8"/>
  <c r="D233" i="8"/>
  <c r="D215" i="8"/>
  <c r="B262" i="8"/>
  <c r="B261" i="8"/>
  <c r="B263" i="8" s="1"/>
  <c r="B259" i="8"/>
  <c r="B258" i="8"/>
  <c r="B260" i="8" s="1"/>
  <c r="B256" i="8"/>
  <c r="B255" i="8"/>
  <c r="B257" i="8" s="1"/>
  <c r="B253" i="8"/>
  <c r="B252" i="8"/>
  <c r="B254" i="8" s="1"/>
  <c r="B250" i="8"/>
  <c r="B249" i="8"/>
  <c r="B251" i="8" s="1"/>
  <c r="B247" i="8"/>
  <c r="B246" i="8"/>
  <c r="B248" i="8" s="1"/>
  <c r="B244" i="8"/>
  <c r="B243" i="8"/>
  <c r="B245" i="8" s="1"/>
  <c r="B241" i="8"/>
  <c r="B240" i="8"/>
  <c r="B242" i="8" s="1"/>
  <c r="B238" i="8"/>
  <c r="B237" i="8"/>
  <c r="B239" i="8" s="1"/>
  <c r="B235" i="8"/>
  <c r="B234" i="8"/>
  <c r="B236" i="8" s="1"/>
  <c r="B232" i="8"/>
  <c r="B231" i="8"/>
  <c r="B233" i="8" s="1"/>
  <c r="B229" i="8"/>
  <c r="B228" i="8"/>
  <c r="B230" i="8" s="1"/>
  <c r="B226" i="8"/>
  <c r="B225" i="8"/>
  <c r="B227" i="8" s="1"/>
  <c r="B223" i="8"/>
  <c r="B222" i="8"/>
  <c r="B224" i="8" s="1"/>
  <c r="B220" i="8"/>
  <c r="B219" i="8"/>
  <c r="B221" i="8" s="1"/>
  <c r="B217" i="8"/>
  <c r="B216" i="8"/>
  <c r="B218" i="8" s="1"/>
  <c r="B214" i="8"/>
  <c r="B213" i="8"/>
  <c r="B215" i="8" s="1"/>
  <c r="D131" i="8"/>
  <c r="D314" i="8"/>
  <c r="D302" i="8"/>
  <c r="D293" i="8"/>
  <c r="D278" i="8"/>
  <c r="D269" i="8"/>
  <c r="D257" i="8"/>
  <c r="D245" i="8"/>
  <c r="D224" i="8"/>
  <c r="F183" i="8" a="1"/>
  <c r="F183" i="8" s="1"/>
  <c r="F57" i="8" a="1"/>
  <c r="F57" i="8" s="1"/>
  <c r="F213" i="8" a="1"/>
  <c r="F213" i="8" s="1"/>
  <c r="E30" i="8"/>
  <c r="E341" i="8"/>
  <c r="E338" i="8"/>
  <c r="E335" i="8"/>
  <c r="E332" i="8"/>
  <c r="E329" i="8"/>
  <c r="E326" i="8"/>
  <c r="E323" i="8"/>
  <c r="E320" i="8"/>
  <c r="E317" i="8"/>
  <c r="E314" i="8"/>
  <c r="E311" i="8"/>
  <c r="E308" i="8"/>
  <c r="E305" i="8"/>
  <c r="D88" i="8"/>
  <c r="D85" i="8"/>
  <c r="D82" i="8"/>
  <c r="D79" i="8"/>
  <c r="D76" i="8"/>
  <c r="D73" i="8"/>
  <c r="D70" i="8"/>
  <c r="D67" i="8"/>
  <c r="D64" i="8"/>
  <c r="D61" i="8"/>
  <c r="D58" i="8"/>
  <c r="D55" i="8"/>
  <c r="D52" i="8"/>
  <c r="D49" i="8"/>
  <c r="D63" i="8"/>
  <c r="D57" i="8"/>
  <c r="D51" i="8"/>
  <c r="D45" i="8"/>
  <c r="D39" i="8"/>
  <c r="D33" i="8"/>
  <c r="D30" i="8"/>
  <c r="B43" i="8"/>
  <c r="B42" i="8"/>
  <c r="B44" i="8" s="1"/>
  <c r="B40" i="8"/>
  <c r="B39" i="8"/>
  <c r="B41" i="8" s="1"/>
  <c r="B37" i="8"/>
  <c r="B36" i="8"/>
  <c r="B38" i="8" s="1"/>
  <c r="B34" i="8"/>
  <c r="B33" i="8"/>
  <c r="B35" i="8" s="1"/>
  <c r="B31" i="8"/>
  <c r="B30" i="8"/>
  <c r="B32" i="8" s="1"/>
  <c r="B201" i="8"/>
  <c r="B203" i="8" s="1"/>
  <c r="B78" i="8"/>
  <c r="B80" i="8" s="1"/>
  <c r="B75" i="8"/>
  <c r="B77" i="8" s="1"/>
  <c r="B72" i="8"/>
  <c r="B74" i="8" s="1"/>
  <c r="B69" i="8"/>
  <c r="B71" i="8" s="1"/>
  <c r="B66" i="8"/>
  <c r="B68" i="8" s="1"/>
  <c r="F242" i="8"/>
  <c r="E303" i="8"/>
  <c r="E291" i="8"/>
  <c r="E282" i="8"/>
  <c r="E270" i="8"/>
  <c r="E261" i="8"/>
  <c r="E249" i="8"/>
  <c r="D338" i="8"/>
  <c r="D104" i="8"/>
  <c r="E213" i="8"/>
  <c r="E204" i="8"/>
  <c r="E192" i="8"/>
  <c r="E183" i="8"/>
  <c r="E171" i="8"/>
  <c r="E140" i="8"/>
  <c r="E128" i="8"/>
  <c r="D292" i="8"/>
  <c r="D280" i="8"/>
  <c r="D268" i="8"/>
  <c r="D226" i="8"/>
  <c r="D256" i="8"/>
  <c r="D253" i="8"/>
  <c r="D250" i="8"/>
  <c r="D247" i="8"/>
  <c r="D244" i="8"/>
  <c r="D241" i="8"/>
  <c r="D238" i="8"/>
  <c r="F94" i="8"/>
  <c r="F91" i="8"/>
  <c r="F88" i="8"/>
  <c r="F85" i="8"/>
  <c r="F82" i="8"/>
  <c r="F79" i="8"/>
  <c r="F76" i="8"/>
  <c r="F73" i="8"/>
  <c r="F70" i="8"/>
  <c r="F67" i="8"/>
  <c r="F64" i="8"/>
  <c r="F61" i="8"/>
  <c r="F58" i="8"/>
  <c r="F55" i="8"/>
  <c r="F52" i="8"/>
  <c r="F49" i="8"/>
  <c r="F46" i="8"/>
  <c r="B340" i="8"/>
  <c r="B199" i="8"/>
  <c r="B198" i="8"/>
  <c r="B200" i="8" s="1"/>
  <c r="B196" i="8"/>
  <c r="B195" i="8"/>
  <c r="B197" i="8" s="1"/>
  <c r="B193" i="8"/>
  <c r="B136" i="8"/>
  <c r="B133" i="8"/>
  <c r="B129" i="8"/>
  <c r="B131" i="8" s="1"/>
  <c r="B126" i="8"/>
  <c r="B128" i="8" s="1"/>
  <c r="D54" i="8"/>
  <c r="D60" i="8"/>
  <c r="D66" i="8"/>
  <c r="D72" i="8"/>
  <c r="D78" i="8"/>
  <c r="D87" i="8"/>
  <c r="D93" i="8"/>
  <c r="D99" i="8"/>
  <c r="D105" i="8"/>
  <c r="D111" i="8"/>
  <c r="D117" i="8"/>
  <c r="D123" i="8"/>
  <c r="D129" i="8"/>
  <c r="D135" i="8"/>
  <c r="D141" i="8"/>
  <c r="D147" i="8"/>
  <c r="D156" i="8"/>
  <c r="D162" i="8"/>
  <c r="D168" i="8"/>
  <c r="D174" i="8"/>
  <c r="D180" i="8"/>
  <c r="D186" i="8"/>
  <c r="D192" i="8"/>
  <c r="D198" i="8"/>
  <c r="D204" i="8"/>
  <c r="F159" i="8" a="1"/>
  <c r="F159" i="8" s="1"/>
  <c r="D210" i="8"/>
  <c r="D216" i="8"/>
  <c r="D222" i="8"/>
  <c r="D228" i="8"/>
  <c r="D234" i="8"/>
  <c r="D240" i="8"/>
  <c r="D246" i="8"/>
  <c r="D252" i="8"/>
  <c r="D258" i="8"/>
  <c r="D264" i="8"/>
  <c r="D270" i="8"/>
  <c r="D276" i="8"/>
  <c r="D282" i="8"/>
  <c r="F276" i="8" a="1"/>
  <c r="F276" i="8" s="1"/>
  <c r="E147" i="8"/>
  <c r="E150" i="8"/>
  <c r="E153" i="8"/>
  <c r="E156" i="8"/>
  <c r="E159" i="8"/>
  <c r="E162" i="8"/>
  <c r="E165" i="8"/>
  <c r="F180" i="8" a="1"/>
  <c r="F180" i="8" s="1"/>
  <c r="E54" i="8"/>
  <c r="E57" i="8"/>
  <c r="E60" i="8"/>
  <c r="E63" i="8"/>
  <c r="E66" i="8"/>
  <c r="E69" i="8"/>
  <c r="E72" i="8"/>
  <c r="F207" i="8" a="1"/>
  <c r="F207" i="8" s="1"/>
  <c r="D181" i="8"/>
  <c r="D184" i="8"/>
  <c r="D187" i="8"/>
  <c r="D190" i="8"/>
  <c r="D193" i="8"/>
  <c r="D196" i="8"/>
  <c r="D199" i="8"/>
  <c r="D202" i="8"/>
  <c r="D205" i="8"/>
  <c r="F192" i="8" a="1"/>
  <c r="F192" i="8" s="1"/>
  <c r="F141" i="8" a="1"/>
  <c r="F141" i="8" s="1"/>
  <c r="E75" i="8"/>
  <c r="E78" i="8"/>
  <c r="E81" i="8"/>
  <c r="E84" i="8"/>
  <c r="E87" i="8"/>
  <c r="E90" i="8"/>
  <c r="E93" i="8"/>
  <c r="E96" i="8"/>
  <c r="E99" i="8"/>
  <c r="E102" i="8"/>
  <c r="E105" i="8"/>
  <c r="E108" i="8"/>
  <c r="E111" i="8"/>
  <c r="E114" i="8"/>
  <c r="F111" i="8" a="1"/>
  <c r="F111" i="8" s="1"/>
  <c r="F151" i="8"/>
  <c r="F154" i="8"/>
  <c r="F157" i="8"/>
  <c r="F60" i="8" a="1"/>
  <c r="F60" i="8" s="1"/>
  <c r="F258" i="8" a="1"/>
  <c r="F258" i="8" s="1"/>
  <c r="F81" i="8" a="1"/>
  <c r="F81" i="8" s="1"/>
  <c r="B211" i="8"/>
  <c r="B210" i="8"/>
  <c r="B212" i="8" s="1"/>
  <c r="B208" i="8"/>
  <c r="B207" i="8"/>
  <c r="B209" i="8" s="1"/>
  <c r="B205" i="8"/>
  <c r="B204" i="8"/>
  <c r="B206" i="8" s="1"/>
  <c r="B202" i="8"/>
  <c r="B63" i="8"/>
  <c r="B65" i="8" s="1"/>
  <c r="B61" i="8"/>
  <c r="B60" i="8"/>
  <c r="B62" i="8" s="1"/>
  <c r="B58" i="8"/>
  <c r="B57" i="8"/>
  <c r="B59" i="8" s="1"/>
  <c r="B55" i="8"/>
  <c r="B54" i="8"/>
  <c r="B56" i="8" s="1"/>
  <c r="B52" i="8"/>
  <c r="B51" i="8"/>
  <c r="B53" i="8" s="1"/>
  <c r="B49" i="8"/>
  <c r="B48" i="8"/>
  <c r="B50" i="8" s="1"/>
  <c r="B46" i="8"/>
  <c r="B45" i="8"/>
  <c r="B47" i="8" s="1"/>
  <c r="F119" i="8"/>
  <c r="F110" i="8"/>
  <c r="D77" i="8"/>
  <c r="D65" i="8"/>
  <c r="D53" i="8"/>
  <c r="E92" i="8"/>
  <c r="F43" i="8"/>
  <c r="F215" i="8"/>
  <c r="F200" i="8"/>
  <c r="F185" i="8"/>
  <c r="D36" i="8"/>
  <c r="E237" i="8"/>
  <c r="E225" i="8"/>
  <c r="D335" i="8"/>
  <c r="D317" i="8"/>
  <c r="D161" i="8"/>
  <c r="D137" i="8"/>
  <c r="D122" i="8"/>
  <c r="D110" i="8"/>
  <c r="D143" i="8"/>
  <c r="D214" i="8"/>
  <c r="B190" i="8"/>
  <c r="B187" i="8"/>
  <c r="B184" i="8"/>
  <c r="B181" i="8"/>
  <c r="B178" i="8"/>
  <c r="B175" i="8"/>
  <c r="B172" i="8"/>
  <c r="E131" i="8"/>
  <c r="D265" i="8"/>
  <c r="E122" i="8"/>
  <c r="E116" i="8"/>
  <c r="E113" i="8"/>
  <c r="F158" i="8"/>
  <c r="D71" i="8"/>
  <c r="D44" i="8"/>
  <c r="E101" i="8"/>
  <c r="F209" i="8"/>
  <c r="F194" i="8"/>
  <c r="F104" i="8"/>
  <c r="F95" i="8"/>
  <c r="F89" i="8"/>
  <c r="F83" i="8"/>
  <c r="F77" i="8"/>
  <c r="F71" i="8"/>
  <c r="F65" i="8"/>
  <c r="F59" i="8"/>
  <c r="F53" i="8"/>
  <c r="F50" i="8"/>
  <c r="F44" i="8"/>
  <c r="F38" i="8"/>
  <c r="F32" i="8"/>
  <c r="E336" i="8"/>
  <c r="E330" i="8"/>
  <c r="E324" i="8"/>
  <c r="E318" i="8"/>
  <c r="E312" i="8"/>
  <c r="E294" i="8"/>
  <c r="E267" i="8"/>
  <c r="E231" i="8"/>
  <c r="E219" i="8"/>
  <c r="E198" i="8"/>
  <c r="E137" i="8"/>
  <c r="D217" i="8"/>
  <c r="E41" i="8"/>
  <c r="E32" i="8"/>
  <c r="D329" i="8"/>
  <c r="D98" i="8"/>
  <c r="D308" i="8"/>
  <c r="D296" i="8"/>
  <c r="D287" i="8"/>
  <c r="D272" i="8"/>
  <c r="D263" i="8"/>
  <c r="D251" i="8"/>
  <c r="D239" i="8"/>
  <c r="F246" i="8" a="1"/>
  <c r="F246" i="8" s="1"/>
  <c r="F39" i="8" a="1"/>
  <c r="F39" i="8" s="1"/>
  <c r="F171" i="8" a="1"/>
  <c r="F171" i="8" s="1"/>
  <c r="F84" i="8" a="1"/>
  <c r="F84" i="8" s="1"/>
  <c r="F294" i="8" a="1"/>
  <c r="F294" i="8" s="1"/>
  <c r="F243" i="8" a="1"/>
  <c r="F243" i="8" s="1"/>
  <c r="F223" i="8"/>
  <c r="F226" i="8"/>
  <c r="F229" i="8"/>
  <c r="F232" i="8"/>
  <c r="F235" i="8"/>
  <c r="F238" i="8"/>
  <c r="F241" i="8"/>
  <c r="F244" i="8"/>
  <c r="F247" i="8"/>
  <c r="F250" i="8"/>
  <c r="F253" i="8"/>
  <c r="F324" i="8" a="1"/>
  <c r="F324" i="8" s="1"/>
  <c r="F45" i="8" a="1"/>
  <c r="F45" i="8" s="1"/>
  <c r="F210" i="8" a="1"/>
  <c r="F210" i="8" s="1"/>
  <c r="E129" i="8"/>
  <c r="E132" i="8"/>
  <c r="E135" i="8"/>
  <c r="E138" i="8"/>
  <c r="E141" i="8"/>
  <c r="E144" i="8"/>
  <c r="F168" i="8" a="1"/>
  <c r="F168" i="8" s="1"/>
  <c r="F156" i="8" a="1"/>
  <c r="F156" i="8" s="1"/>
  <c r="F117" i="8" a="1"/>
  <c r="F117" i="8" s="1"/>
  <c r="F333" i="8" a="1"/>
  <c r="F333" i="8" s="1"/>
  <c r="D31" i="8"/>
  <c r="D34" i="8"/>
  <c r="D37" i="8"/>
  <c r="D40" i="8"/>
  <c r="D43" i="8"/>
  <c r="D46" i="8"/>
  <c r="F114" i="8" a="1"/>
  <c r="F114" i="8" s="1"/>
  <c r="F153" i="8" a="1"/>
  <c r="F153" i="8" s="1"/>
  <c r="F279" i="8" a="1"/>
  <c r="F279" i="8" s="1"/>
  <c r="F219" i="8" a="1"/>
  <c r="F219" i="8" s="1"/>
  <c r="E33" i="8"/>
  <c r="B121" i="8"/>
  <c r="D332" i="8"/>
  <c r="D158" i="8"/>
  <c r="F152" i="8"/>
  <c r="F146" i="8"/>
  <c r="F140" i="8"/>
  <c r="F128" i="8"/>
  <c r="F113" i="8"/>
  <c r="D326" i="8"/>
  <c r="D146" i="8"/>
  <c r="D236" i="8"/>
  <c r="D230" i="8"/>
  <c r="D221" i="8"/>
  <c r="D212" i="8"/>
  <c r="D203" i="8"/>
  <c r="D197" i="8"/>
  <c r="D191" i="8"/>
  <c r="D182" i="8"/>
  <c r="D170" i="8"/>
  <c r="D125" i="8"/>
  <c r="D89" i="8"/>
  <c r="F170" i="8"/>
  <c r="D74" i="8"/>
  <c r="D62" i="8"/>
  <c r="D50" i="8"/>
  <c r="D259" i="8"/>
  <c r="E95" i="8"/>
  <c r="F34" i="8"/>
  <c r="F230" i="8"/>
  <c r="F218" i="8"/>
  <c r="F203" i="8"/>
  <c r="F188" i="8"/>
  <c r="F176" i="8"/>
  <c r="F167" i="8"/>
  <c r="B171" i="8"/>
  <c r="B173" i="8" s="1"/>
  <c r="B169" i="8"/>
  <c r="B168" i="8"/>
  <c r="B170" i="8" s="1"/>
  <c r="B166" i="8"/>
  <c r="B165" i="8"/>
  <c r="B167" i="8" s="1"/>
  <c r="B163" i="8"/>
  <c r="B162" i="8"/>
  <c r="B164" i="8" s="1"/>
  <c r="B160" i="8"/>
  <c r="B159" i="8"/>
  <c r="B161" i="8" s="1"/>
  <c r="B157" i="8"/>
  <c r="B156" i="8"/>
  <c r="B158" i="8" s="1"/>
  <c r="B154" i="8"/>
  <c r="B153" i="8"/>
  <c r="B155" i="8" s="1"/>
  <c r="B151" i="8"/>
  <c r="B150" i="8"/>
  <c r="B152" i="8" s="1"/>
  <c r="B148" i="8"/>
  <c r="B147" i="8"/>
  <c r="B149" i="8" s="1"/>
  <c r="B145" i="8"/>
  <c r="B144" i="8"/>
  <c r="B146" i="8" s="1"/>
  <c r="B142" i="8"/>
  <c r="B141" i="8"/>
  <c r="B143" i="8" s="1"/>
  <c r="B139" i="8"/>
  <c r="B138" i="8"/>
  <c r="B140" i="8" s="1"/>
  <c r="B135" i="8"/>
  <c r="B137" i="8" s="1"/>
  <c r="B132" i="8"/>
  <c r="B134" i="8" s="1"/>
  <c r="B130" i="8"/>
  <c r="B127" i="8"/>
  <c r="B124" i="8"/>
  <c r="B123" i="8"/>
  <c r="B125" i="8" s="1"/>
  <c r="B120" i="8"/>
  <c r="B122" i="8" s="1"/>
  <c r="D323" i="8"/>
  <c r="D149" i="8"/>
  <c r="D95" i="8"/>
  <c r="B118" i="8"/>
  <c r="E65" i="8"/>
  <c r="E62" i="8"/>
  <c r="E59" i="8"/>
  <c r="E56" i="8"/>
  <c r="E53" i="8"/>
  <c r="E50" i="8"/>
  <c r="E47" i="8"/>
  <c r="D235" i="8"/>
  <c r="D232" i="8"/>
  <c r="D229" i="8"/>
  <c r="B117" i="8"/>
  <c r="B119" i="8" s="1"/>
  <c r="B115" i="8"/>
  <c r="B114" i="8"/>
  <c r="B116" i="8" s="1"/>
  <c r="B112" i="8"/>
  <c r="B111" i="8"/>
  <c r="B113" i="8" s="1"/>
  <c r="B109" i="8"/>
  <c r="B108" i="8"/>
  <c r="B110" i="8" s="1"/>
  <c r="B106" i="8"/>
  <c r="B105" i="8"/>
  <c r="B107" i="8" s="1"/>
  <c r="B103" i="8"/>
  <c r="B102" i="8"/>
  <c r="B104" i="8" s="1"/>
  <c r="B100" i="8"/>
  <c r="B99" i="8"/>
  <c r="B101" i="8" s="1"/>
  <c r="B97" i="8"/>
  <c r="B96" i="8"/>
  <c r="B98" i="8" s="1"/>
  <c r="B94" i="8"/>
  <c r="B93" i="8"/>
  <c r="B95" i="8" s="1"/>
  <c r="B91" i="8"/>
  <c r="B90" i="8"/>
  <c r="B92" i="8" s="1"/>
  <c r="B88" i="8"/>
  <c r="B87" i="8"/>
  <c r="B89" i="8" s="1"/>
  <c r="B85" i="8"/>
  <c r="B84" i="8"/>
  <c r="B86" i="8" s="1"/>
  <c r="B82" i="8"/>
  <c r="B81" i="8"/>
  <c r="B83" i="8" s="1"/>
  <c r="B79" i="8"/>
  <c r="B76" i="8"/>
  <c r="B73" i="8"/>
  <c r="B70" i="8"/>
  <c r="B67" i="8"/>
  <c r="B64" i="8"/>
  <c r="E300" i="8"/>
  <c r="E285" i="8"/>
  <c r="E273" i="8"/>
  <c r="F305" i="8"/>
  <c r="F239" i="8"/>
  <c r="F236" i="8"/>
  <c r="F233" i="8"/>
  <c r="F299" i="8"/>
  <c r="E89" i="8"/>
  <c r="E83" i="8"/>
  <c r="E77" i="8"/>
  <c r="E71" i="8"/>
  <c r="F293" i="8"/>
  <c r="F287" i="8"/>
  <c r="F284" i="8"/>
  <c r="F278" i="8"/>
  <c r="F272" i="8"/>
  <c r="E107" i="8"/>
  <c r="F263" i="8"/>
  <c r="F257" i="8"/>
  <c r="F251" i="8"/>
  <c r="E306" i="8"/>
  <c r="E288" i="8"/>
  <c r="E264" i="8"/>
  <c r="E246" i="8"/>
  <c r="E216" i="8"/>
  <c r="E189" i="8"/>
  <c r="E177" i="8"/>
  <c r="E134" i="8"/>
  <c r="D286" i="8"/>
  <c r="E98" i="8"/>
  <c r="F221" i="8"/>
  <c r="F191" i="8"/>
  <c r="F132" i="8" a="1"/>
  <c r="F132" i="8" s="1"/>
  <c r="F144" i="8" a="1"/>
  <c r="F144" i="8" s="1"/>
  <c r="F63" i="8" a="1"/>
  <c r="F63" i="8" s="1"/>
  <c r="C36" i="8"/>
  <c r="F216" i="8" a="1"/>
  <c r="F216" i="8" s="1"/>
  <c r="C180" i="8"/>
  <c r="C186" i="8"/>
  <c r="C192" i="8"/>
  <c r="C198" i="8"/>
  <c r="C204" i="8"/>
  <c r="C210" i="8"/>
  <c r="F327" i="8" a="1"/>
  <c r="F327" i="8" s="1"/>
  <c r="F54" i="8" a="1"/>
  <c r="F54" i="8" s="1"/>
  <c r="F264" i="8" a="1"/>
  <c r="F264" i="8" s="1"/>
  <c r="F300" i="8" a="1"/>
  <c r="F300" i="8" s="1"/>
  <c r="F315" i="8" a="1"/>
  <c r="F315" i="8" s="1"/>
  <c r="E255" i="8"/>
  <c r="E243" i="8"/>
  <c r="D320" i="8"/>
  <c r="E207" i="8"/>
  <c r="E195" i="8"/>
  <c r="E180" i="8"/>
  <c r="D277" i="8"/>
  <c r="E125" i="8"/>
  <c r="E119" i="8"/>
  <c r="E110" i="8"/>
  <c r="F161" i="8"/>
  <c r="F155" i="8"/>
  <c r="F149" i="8"/>
  <c r="F134" i="8"/>
  <c r="F122" i="8"/>
  <c r="E234" i="8"/>
  <c r="D167" i="8"/>
  <c r="D119" i="8"/>
  <c r="D227" i="8"/>
  <c r="D218" i="8"/>
  <c r="D209" i="8"/>
  <c r="D200" i="8"/>
  <c r="D188" i="8"/>
  <c r="D179" i="8"/>
  <c r="D83" i="8"/>
  <c r="E222" i="8"/>
  <c r="D206" i="8"/>
  <c r="D194" i="8"/>
  <c r="D185" i="8"/>
  <c r="D176" i="8"/>
  <c r="D152" i="8"/>
  <c r="D86" i="8"/>
  <c r="D68" i="8"/>
  <c r="D56" i="8"/>
  <c r="D47" i="8"/>
  <c r="E104" i="8"/>
  <c r="F40" i="8"/>
  <c r="F227" i="8"/>
  <c r="F212" i="8"/>
  <c r="F197" i="8"/>
  <c r="F179" i="8"/>
  <c r="D41" i="8"/>
  <c r="D38" i="8"/>
  <c r="D35" i="8"/>
  <c r="D32" i="8"/>
  <c r="D340" i="8"/>
  <c r="D337" i="8"/>
  <c r="D334" i="8"/>
  <c r="D331" i="8"/>
  <c r="D328" i="8"/>
  <c r="D325" i="8"/>
  <c r="D322" i="8"/>
  <c r="D319" i="8"/>
  <c r="D316" i="8"/>
  <c r="D313" i="8"/>
  <c r="D310" i="8"/>
  <c r="D307" i="8"/>
  <c r="D304" i="8"/>
  <c r="D301" i="8"/>
  <c r="D298" i="8"/>
  <c r="D289" i="8"/>
  <c r="D274" i="8"/>
  <c r="D262" i="8"/>
  <c r="F341" i="8"/>
  <c r="F338" i="8"/>
  <c r="F335" i="8"/>
  <c r="F332" i="8"/>
  <c r="F143" i="8"/>
  <c r="F137" i="8"/>
  <c r="F131" i="8"/>
  <c r="F125" i="8"/>
  <c r="F116" i="8"/>
  <c r="E240" i="8"/>
  <c r="E228" i="8"/>
  <c r="D341" i="8"/>
  <c r="D164" i="8"/>
  <c r="D134" i="8"/>
  <c r="D101" i="8"/>
  <c r="F329" i="8"/>
  <c r="F326" i="8"/>
  <c r="F323" i="8"/>
  <c r="F320" i="8"/>
  <c r="F317" i="8"/>
  <c r="F314" i="8"/>
  <c r="F311" i="8"/>
  <c r="F308" i="8"/>
  <c r="F302" i="8"/>
  <c r="F296" i="8"/>
  <c r="E86" i="8"/>
  <c r="E80" i="8"/>
  <c r="E74" i="8"/>
  <c r="E68" i="8"/>
  <c r="F290" i="8"/>
  <c r="F281" i="8"/>
  <c r="F275" i="8"/>
  <c r="F269" i="8"/>
  <c r="F266" i="8"/>
  <c r="F260" i="8"/>
  <c r="F254" i="8"/>
  <c r="F248" i="8"/>
  <c r="F245" i="8"/>
  <c r="E297" i="8"/>
  <c r="E276" i="8"/>
  <c r="E258" i="8"/>
  <c r="D113" i="8"/>
  <c r="E201" i="8"/>
  <c r="E168" i="8"/>
  <c r="D295" i="8"/>
  <c r="D271" i="8"/>
  <c r="F31" i="8"/>
  <c r="F206" i="8"/>
  <c r="F173" i="8"/>
  <c r="F306" i="8" a="1"/>
  <c r="F306" i="8" s="1"/>
  <c r="F309" i="8" a="1"/>
  <c r="F309" i="8" s="1"/>
  <c r="F90" i="8" a="1"/>
  <c r="F90" i="8" s="1"/>
  <c r="F36" i="8" a="1"/>
  <c r="F36" i="8" s="1"/>
  <c r="F256" i="8"/>
  <c r="E51" i="8"/>
  <c r="F273" i="8" a="1"/>
  <c r="F273" i="8" s="1"/>
  <c r="D144" i="8"/>
  <c r="D150" i="8"/>
  <c r="D153" i="8"/>
  <c r="D159" i="8"/>
  <c r="D165" i="8"/>
  <c r="D171" i="8"/>
  <c r="D177" i="8"/>
  <c r="D183" i="8"/>
  <c r="D189" i="8"/>
  <c r="F198" i="8" a="1"/>
  <c r="F198" i="8" s="1"/>
  <c r="D195" i="8"/>
  <c r="D201" i="8"/>
  <c r="D207" i="8"/>
  <c r="F75" i="8" a="1"/>
  <c r="F75" i="8" s="1"/>
  <c r="D288" i="8"/>
  <c r="D297" i="8"/>
  <c r="D303" i="8"/>
  <c r="D309" i="8"/>
  <c r="D315" i="8"/>
  <c r="D321" i="8"/>
  <c r="D327" i="8"/>
  <c r="D330" i="8"/>
  <c r="D336" i="8"/>
  <c r="F162" i="8" a="1"/>
  <c r="F162" i="8" s="1"/>
  <c r="F234" i="8" a="1"/>
  <c r="F234" i="8" s="1"/>
  <c r="F339" i="8" a="1"/>
  <c r="F339" i="8" s="1"/>
  <c r="F105" i="8" a="1"/>
  <c r="F105" i="8" s="1"/>
  <c r="F72" i="8" a="1"/>
  <c r="F72" i="8" s="1"/>
  <c r="E45" i="8"/>
  <c r="E48" i="8"/>
  <c r="F321" i="8" a="1"/>
  <c r="F32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Takako Aikawa</author>
  </authors>
  <commentList>
    <comment ref="K1" authorId="0" shapeId="0" xr:uid="{CB6B84B5-E5F0-4AE2-B930-EFBB94463E0A}">
      <text>
        <r>
          <rPr>
            <b/>
            <sz val="9"/>
            <color indexed="81"/>
            <rFont val="ＭＳ Ｐゴシック"/>
            <family val="3"/>
            <charset val="128"/>
          </rPr>
          <t>Takako Aikawa: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Kashimoto Yuuichi</author>
  </authors>
  <commentList>
    <comment ref="A1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○がついている列が配送先パターン分けに用いられる
項目となります。</t>
        </r>
      </text>
    </comment>
    <comment ref="A2" authorId="0" shapeId="0" xr:uid="{00000000-0006-0000-06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１：新藤C
２：品川本社
３：各拠点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<sst xmlns="http://schemas.openxmlformats.org/spreadsheetml/2006/main" count="6700" uniqueCount="1651">
  <si>
    <t>4</t>
    <phoneticPr fontId="10"/>
  </si>
  <si>
    <t>価格表
表紙刷色</t>
    <rPh sb="0" eb="2">
      <t>カカク</t>
    </rPh>
    <rPh sb="2" eb="3">
      <t>ヒョウ</t>
    </rPh>
    <phoneticPr fontId="10"/>
  </si>
  <si>
    <t>価格表
本文刷色</t>
    <phoneticPr fontId="10"/>
  </si>
  <si>
    <t>価格表
本文ﾍﾟｰｼﾞ数</t>
    <phoneticPr fontId="10"/>
  </si>
  <si>
    <t>価格表
表紙用紙</t>
    <phoneticPr fontId="10"/>
  </si>
  <si>
    <t>価格表
本文用紙</t>
    <phoneticPr fontId="10"/>
  </si>
  <si>
    <t>価格表
製本仕様</t>
    <rPh sb="4" eb="6">
      <t>セイホン</t>
    </rPh>
    <rPh sb="6" eb="8">
      <t>シヨウ</t>
    </rPh>
    <phoneticPr fontId="10"/>
  </si>
  <si>
    <t>価格表
差込有無※</t>
    <rPh sb="4" eb="6">
      <t>サシコミ</t>
    </rPh>
    <rPh sb="6" eb="8">
      <t>ウム</t>
    </rPh>
    <phoneticPr fontId="10"/>
  </si>
  <si>
    <t>価格表
製品分野</t>
    <rPh sb="4" eb="6">
      <t>セイヒン</t>
    </rPh>
    <rPh sb="6" eb="8">
      <t>ブンヤ</t>
    </rPh>
    <phoneticPr fontId="10"/>
  </si>
  <si>
    <t>価格表
裁断加工</t>
    <rPh sb="4" eb="6">
      <t>サイダン</t>
    </rPh>
    <rPh sb="6" eb="8">
      <t>カコウ</t>
    </rPh>
    <phoneticPr fontId="10"/>
  </si>
  <si>
    <t>価格表
パンチ加工</t>
    <rPh sb="7" eb="9">
      <t>カコウ</t>
    </rPh>
    <phoneticPr fontId="10"/>
  </si>
  <si>
    <t>価格表
差替特記事項</t>
    <phoneticPr fontId="10"/>
  </si>
  <si>
    <t>A4</t>
    <phoneticPr fontId="10"/>
  </si>
  <si>
    <t>101</t>
  </si>
  <si>
    <t>売上課所</t>
    <rPh sb="0" eb="2">
      <t>ウリアゲ</t>
    </rPh>
    <rPh sb="2" eb="4">
      <t>カショ</t>
    </rPh>
    <phoneticPr fontId="10"/>
  </si>
  <si>
    <t>中分類</t>
    <rPh sb="0" eb="3">
      <t>チュウブンルイ</t>
    </rPh>
    <phoneticPr fontId="10"/>
  </si>
  <si>
    <t>本文ﾍﾟｰｼﾞ数</t>
  </si>
  <si>
    <t>商品コード</t>
  </si>
  <si>
    <t>商品名</t>
  </si>
  <si>
    <t>倉庫コード</t>
  </si>
  <si>
    <t>★作業指示書作成ツールの使い方</t>
    <rPh sb="1" eb="3">
      <t>サギョウ</t>
    </rPh>
    <rPh sb="3" eb="6">
      <t>シジショ</t>
    </rPh>
    <rPh sb="6" eb="8">
      <t>サクセイ</t>
    </rPh>
    <rPh sb="12" eb="13">
      <t>ツカ</t>
    </rPh>
    <rPh sb="14" eb="15">
      <t>カタ</t>
    </rPh>
    <phoneticPr fontId="10"/>
  </si>
  <si>
    <t>商品コードがマスタに存在しない時は、該当の商品コードのセルが黄色になり、エラーメッセージが表示されます。</t>
    <rPh sb="0" eb="2">
      <t>ショウヒン</t>
    </rPh>
    <rPh sb="10" eb="12">
      <t>ソンザイ</t>
    </rPh>
    <rPh sb="15" eb="16">
      <t>トキ</t>
    </rPh>
    <rPh sb="18" eb="20">
      <t>ガイトウ</t>
    </rPh>
    <rPh sb="21" eb="23">
      <t>ショウヒン</t>
    </rPh>
    <rPh sb="30" eb="32">
      <t>キイロ</t>
    </rPh>
    <rPh sb="45" eb="47">
      <t>ヒョウジ</t>
    </rPh>
    <phoneticPr fontId="10"/>
  </si>
  <si>
    <t>それ以外の作業指示書は通常通り作成されます。</t>
    <rPh sb="2" eb="4">
      <t>イガイ</t>
    </rPh>
    <rPh sb="5" eb="7">
      <t>サギョウ</t>
    </rPh>
    <rPh sb="7" eb="10">
      <t>シジショ</t>
    </rPh>
    <rPh sb="11" eb="13">
      <t>ツウジョウ</t>
    </rPh>
    <rPh sb="13" eb="14">
      <t>ドオ</t>
    </rPh>
    <rPh sb="15" eb="17">
      <t>サクセイ</t>
    </rPh>
    <phoneticPr fontId="10"/>
  </si>
  <si>
    <t>　エラー発生の時は</t>
    <rPh sb="4" eb="6">
      <t>ハッセイ</t>
    </rPh>
    <rPh sb="7" eb="8">
      <t>トキ</t>
    </rPh>
    <phoneticPr fontId="10"/>
  </si>
  <si>
    <t>表紙用紙</t>
  </si>
  <si>
    <t>本文用紙</t>
  </si>
  <si>
    <t>表紙刷色</t>
  </si>
  <si>
    <t>本文刷色</t>
  </si>
  <si>
    <t>仕上りサイズ</t>
  </si>
  <si>
    <t>製本仕様</t>
  </si>
  <si>
    <t>その他仕様→v2不使用</t>
  </si>
  <si>
    <t>差込有無</t>
  </si>
  <si>
    <t>サンプル</t>
  </si>
  <si>
    <t>製品分野</t>
  </si>
  <si>
    <t>裁断加工</t>
  </si>
  <si>
    <t>パンチ加工</t>
  </si>
  <si>
    <t>個人情報</t>
  </si>
  <si>
    <t>4</t>
  </si>
  <si>
    <t>二つ折り</t>
  </si>
  <si>
    <t>3</t>
  </si>
  <si>
    <t>5</t>
  </si>
  <si>
    <t>7</t>
  </si>
  <si>
    <t>8</t>
  </si>
  <si>
    <t>16</t>
  </si>
  <si>
    <t>9</t>
  </si>
  <si>
    <t>84</t>
  </si>
  <si>
    <t>10</t>
  </si>
  <si>
    <t>11</t>
  </si>
  <si>
    <t>12</t>
  </si>
  <si>
    <t>60</t>
  </si>
  <si>
    <t>13</t>
  </si>
  <si>
    <t>14</t>
  </si>
  <si>
    <t>15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</si>
  <si>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</si>
  <si>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</si>
  <si>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</si>
  <si>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</si>
  <si>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</si>
  <si>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</si>
  <si>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</si>
  <si>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</si>
  <si>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</si>
  <si>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</si>
  <si>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</si>
  <si>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</si>
  <si>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</si>
  <si>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</si>
  <si>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</si>
  <si>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</si>
  <si>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</si>
  <si>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</si>
  <si>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</si>
  <si>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</si>
  <si>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</si>
  <si>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</si>
  <si>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</si>
  <si>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</si>
  <si>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</si>
  <si>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</si>
  <si>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</si>
  <si>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</si>
  <si>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</si>
  <si>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</si>
  <si>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</si>
  <si>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</si>
  <si>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</si>
  <si>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</si>
  <si>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</si>
  <si>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</si>
  <si>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</si>
  <si>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</si>
  <si>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</si>
  <si>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</si>
  <si>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</si>
  <si>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</si>
  <si>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</si>
  <si>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</si>
  <si>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</si>
  <si>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</si>
  <si>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</si>
  <si>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</si>
  <si>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</si>
  <si>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</si>
  <si>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</si>
  <si>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</si>
  <si>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</si>
  <si>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</si>
  <si>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</si>
  <si>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</si>
  <si>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</si>
  <si>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</si>
  <si>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</si>
  <si>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</si>
  <si>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</si>
  <si>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</si>
  <si>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</si>
  <si>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</si>
  <si>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</si>
  <si>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</si>
  <si>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</si>
  <si>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</si>
  <si>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</si>
  <si>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</si>
  <si>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</si>
  <si>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</si>
  <si>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</si>
  <si>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</si>
  <si>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</si>
  <si>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</si>
  <si>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</si>
  <si>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</si>
  <si>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</si>
  <si>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</si>
  <si>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102</t>
  </si>
  <si>
    <t>103</t>
  </si>
  <si>
    <t>104</t>
  </si>
  <si>
    <t>106</t>
  </si>
  <si>
    <t>差替特記事項</t>
  </si>
  <si>
    <t>入稿形態</t>
  </si>
  <si>
    <t>依頼先</t>
  </si>
  <si>
    <t>ユーライト　135ｋｇ</t>
  </si>
  <si>
    <t>4C/4C</t>
  </si>
  <si>
    <t>無</t>
    <rPh sb="0" eb="1">
      <t>ナ</t>
    </rPh>
    <phoneticPr fontId="10"/>
  </si>
  <si>
    <t>無</t>
    <rPh sb="0" eb="1">
      <t>ム</t>
    </rPh>
    <phoneticPr fontId="10"/>
  </si>
  <si>
    <t>しらおいＹ （Ａ3） 44.5</t>
  </si>
  <si>
    <t>カラー一般</t>
    <rPh sb="3" eb="5">
      <t>イッパン</t>
    </rPh>
    <phoneticPr fontId="10"/>
  </si>
  <si>
    <t>パンフ・入居案内：有</t>
    <rPh sb="9" eb="10">
      <t>アリ</t>
    </rPh>
    <phoneticPr fontId="10"/>
  </si>
  <si>
    <t>(入居案内)
表紙用紙</t>
    <phoneticPr fontId="10"/>
  </si>
  <si>
    <t>(入居案内)
本文用紙</t>
  </si>
  <si>
    <t>(入居案内)
表紙刷色</t>
  </si>
  <si>
    <t>(入居案内)
本文刷色</t>
  </si>
  <si>
    <t>(入居案内)
本文ﾍﾟｰｼﾞ数</t>
  </si>
  <si>
    <t>(入居案内)
製本仕様</t>
    <rPh sb="7" eb="9">
      <t>セイホン</t>
    </rPh>
    <rPh sb="9" eb="11">
      <t>シヨウ</t>
    </rPh>
    <phoneticPr fontId="10"/>
  </si>
  <si>
    <t>(入居案内)
差込有無※</t>
    <rPh sb="7" eb="9">
      <t>サシコミ</t>
    </rPh>
    <rPh sb="9" eb="11">
      <t>ウム</t>
    </rPh>
    <phoneticPr fontId="10"/>
  </si>
  <si>
    <t>(入居案内)
製品分野</t>
    <rPh sb="7" eb="9">
      <t>セイヒン</t>
    </rPh>
    <rPh sb="9" eb="11">
      <t>ブンヤ</t>
    </rPh>
    <phoneticPr fontId="10"/>
  </si>
  <si>
    <t>(入居案内)
裁断加工</t>
    <rPh sb="7" eb="9">
      <t>サイダン</t>
    </rPh>
    <rPh sb="9" eb="11">
      <t>カコウ</t>
    </rPh>
    <phoneticPr fontId="10"/>
  </si>
  <si>
    <t>(入居案内)
パンチ加工</t>
    <rPh sb="10" eb="12">
      <t>カコウ</t>
    </rPh>
    <phoneticPr fontId="10"/>
  </si>
  <si>
    <t>製品名（価格表）</t>
    <rPh sb="4" eb="6">
      <t>カカク</t>
    </rPh>
    <rPh sb="6" eb="7">
      <t>ヒョウ</t>
    </rPh>
    <phoneticPr fontId="10"/>
  </si>
  <si>
    <t>商品ｺｰﾄﾞ（価格表）</t>
    <rPh sb="7" eb="9">
      <t>カカク</t>
    </rPh>
    <rPh sb="9" eb="10">
      <t>ヒョウ</t>
    </rPh>
    <phoneticPr fontId="10"/>
  </si>
  <si>
    <t>1205</t>
  </si>
  <si>
    <t>1407</t>
  </si>
  <si>
    <t>発注番号</t>
  </si>
  <si>
    <t>発注者</t>
  </si>
  <si>
    <t>配送先名</t>
  </si>
  <si>
    <t>配送先郵便番号</t>
  </si>
  <si>
    <t>配送先住所1</t>
  </si>
  <si>
    <t>配送先住所2</t>
  </si>
  <si>
    <t>配送先住所3</t>
  </si>
  <si>
    <t>配送先電話番号</t>
  </si>
  <si>
    <t>配送先担当者名</t>
  </si>
  <si>
    <t>注文数量</t>
  </si>
  <si>
    <t>納期</t>
  </si>
  <si>
    <t>(パンフレット)P
製品名</t>
    <phoneticPr fontId="10"/>
  </si>
  <si>
    <t>(入居案内)N
製品名</t>
    <phoneticPr fontId="10"/>
  </si>
  <si>
    <t>チェック</t>
    <phoneticPr fontId="10"/>
  </si>
  <si>
    <t>PDF</t>
    <phoneticPr fontId="10"/>
  </si>
  <si>
    <t>1205</t>
    <phoneticPr fontId="10"/>
  </si>
  <si>
    <t>1407</t>
    <phoneticPr fontId="10"/>
  </si>
  <si>
    <t>6</t>
  </si>
  <si>
    <t>トレクォーレ横須賀(パンフレット)</t>
  </si>
  <si>
    <t>パンフ・入居案内：有　★★注意：納期2日前発送★★</t>
    <rPh sb="9" eb="10">
      <t>アリ</t>
    </rPh>
    <phoneticPr fontId="10"/>
  </si>
  <si>
    <r>
      <t xml:space="preserve">商品ｺｰﾄﾞ
</t>
    </r>
    <r>
      <rPr>
        <sz val="8"/>
        <rFont val="メイリオ"/>
        <family val="3"/>
        <charset val="128"/>
      </rPr>
      <t>CC固定6桁-P固定/</t>
    </r>
    <r>
      <rPr>
        <sz val="8"/>
        <color indexed="10"/>
        <rFont val="メイリオ"/>
        <family val="3"/>
        <charset val="128"/>
      </rPr>
      <t>YYMM/ABC・・・同月改訂履歴</t>
    </r>
    <r>
      <rPr>
        <sz val="8"/>
        <rFont val="メイリオ"/>
        <family val="3"/>
        <charset val="128"/>
      </rPr>
      <t>/建物№固定</t>
    </r>
    <phoneticPr fontId="10"/>
  </si>
  <si>
    <t>107</t>
  </si>
  <si>
    <t>108</t>
  </si>
  <si>
    <t>109</t>
  </si>
  <si>
    <t>110</t>
  </si>
  <si>
    <t>有</t>
    <rPh sb="0" eb="1">
      <t>アリ</t>
    </rPh>
    <phoneticPr fontId="10"/>
  </si>
  <si>
    <t>A4</t>
  </si>
  <si>
    <t>PDF</t>
  </si>
  <si>
    <t>4P二つ折り</t>
  </si>
  <si>
    <t>111</t>
  </si>
  <si>
    <t>112</t>
  </si>
  <si>
    <t>ユーライト菊判 62.5ｋｇ</t>
    <rPh sb="5" eb="6">
      <t>キク</t>
    </rPh>
    <rPh sb="6" eb="7">
      <t>バン</t>
    </rPh>
    <phoneticPr fontId="10"/>
  </si>
  <si>
    <t>三つ折り</t>
  </si>
  <si>
    <t>T210×Y100</t>
    <phoneticPr fontId="10"/>
  </si>
  <si>
    <t>6</t>
    <phoneticPr fontId="10"/>
  </si>
  <si>
    <t>無</t>
  </si>
  <si>
    <t>カラー一般</t>
  </si>
  <si>
    <t>SOMPOケア ラヴィ―レ厚木(パンフレット)</t>
  </si>
  <si>
    <t>SOMPOケア ラヴィ―レ小田急相模原(パンフレット)</t>
  </si>
  <si>
    <t>SOMPOケア ラヴィ―レ堀之内(パンフレット)</t>
  </si>
  <si>
    <t>SOMPOケア ラヴィ―レ大和(パンフレット)</t>
  </si>
  <si>
    <t>SOMPOケア ラヴィ―レ洋光台(パンフレット)</t>
  </si>
  <si>
    <t>SOMPOケア ラヴィ―レ小田原(パンフレット)</t>
  </si>
  <si>
    <t>SOMPOケア ラヴィ―レ高津(パンフレット)</t>
  </si>
  <si>
    <t>SOMPOケア ラヴィ―レ大宮(パンフレット)</t>
  </si>
  <si>
    <t>SOMPOケア ラヴィ―レ高座渋谷(パンフレット)</t>
  </si>
  <si>
    <t>SOMPOケア ラヴィ―レ湘南平塚(パンフレット)</t>
  </si>
  <si>
    <t>SOMPOケア ラヴィ―レ岸和田(パンフレット)</t>
  </si>
  <si>
    <t>SOMPOケア ラヴィ―レ淵野辺(パンフレット)</t>
  </si>
  <si>
    <t>SOMPOケア ラヴィ―レ成田(パンフレット)</t>
  </si>
  <si>
    <t>SOMPOケア ラヴィ―レ川口安行(パンフレット)</t>
  </si>
  <si>
    <t>SOMPOケア ラヴィ―レ鎌倉常盤(パンフレット)</t>
  </si>
  <si>
    <t>SOMPOケア ラヴィ―レあざみ野(パンフレット)</t>
  </si>
  <si>
    <t>SOMPOケア ラヴィ―レ本厚木(パンフレット)</t>
  </si>
  <si>
    <t>SOMPOケア ラヴィ―レ町田小野路(パンフレット)</t>
  </si>
  <si>
    <t>SOMPOケア ラヴィ―レみつわ台(パンフレット)</t>
  </si>
  <si>
    <t>SOMPOケア ラヴィ―レ浜川崎(パンフレット)</t>
  </si>
  <si>
    <t>SOMPOケア ラヴィ―レ綱島(パンフレット)</t>
  </si>
  <si>
    <t>SOMPOケア ラヴィ―レ相模原中央(パンフレット)</t>
  </si>
  <si>
    <t>SOMPOケア ラヴィ―レ久里浜(パンフレット)</t>
  </si>
  <si>
    <t>SOMPOケア ラヴィ―レ広島光が丘(パンフレット)</t>
  </si>
  <si>
    <t>SOMPOケア ラヴィ―レ伊勢原(パンフレット)</t>
  </si>
  <si>
    <t>SOMPOケア ラヴィ―レ神戸伊川谷(パンフレット)</t>
  </si>
  <si>
    <t>SOMPOケア ラヴィ―レ錦糸町(パンフレット)</t>
  </si>
  <si>
    <t>SOMPOケア ラヴィ―レ一之江(パンフレット)</t>
  </si>
  <si>
    <t>SOMPOケア ラヴィ―レ大磯(パンフレット)</t>
  </si>
  <si>
    <t>SOMPOケア ラヴィ―レ古淵(パンフレット)</t>
  </si>
  <si>
    <t>SOMPOケア ラヴィ―レ坂戸(パンフレット)</t>
  </si>
  <si>
    <t>SOMPOケア ラヴィ―レ南浦和(パンフレット)</t>
  </si>
  <si>
    <t>SOMPOケア ラヴィ―レ勝田台(パンフレット)</t>
  </si>
  <si>
    <t>SOMPOケア ラヴィ―レ東逗子(パンフレット)</t>
  </si>
  <si>
    <t>SOMPOケア ラヴィ―レ東大和(パンフレット)</t>
  </si>
  <si>
    <t>SOMPOケア ラヴィ―レ中央林間(パンフレット)</t>
  </si>
  <si>
    <t>SOMPOケア ラヴィ―レ衣笠山公園(パンフレット)</t>
  </si>
  <si>
    <t>SOMPOケア ラヴィ―レ南町田(パンフレット)</t>
  </si>
  <si>
    <t>SOMPOケア ラヴィ―レ志木柳瀬川(パンフレット)</t>
  </si>
  <si>
    <t>SOMPOケア ラヴィ―レ湘南平塚弐番館(パンフレット)</t>
  </si>
  <si>
    <t>SOMPOケア ラヴィ―レ弁天町(パンフレット)</t>
  </si>
  <si>
    <t>SOMPOケア ラヴィ―レ熱田(パンフレット)</t>
  </si>
  <si>
    <t>SOMPOケア ラヴィ―レ上溝(パンフレット)</t>
  </si>
  <si>
    <t>SOMPOケア ラヴィ―レ金沢八景(パンフレット)</t>
  </si>
  <si>
    <t>SOMPOケア ラヴィ―レ赤塚公園(パンフレット)</t>
  </si>
  <si>
    <t>SOMPOケア ラヴィ―レ千葉椿森(パンフレット)</t>
  </si>
  <si>
    <t>SOMPOケア ラヴィ―レ舟入(パンフレット)</t>
  </si>
  <si>
    <t>SOMPOケア ラヴィ―レ調布(パンフレット)</t>
  </si>
  <si>
    <t>SOMPOケア ラヴィ―レ狛江(パンフレット)</t>
  </si>
  <si>
    <t>SOMPOケア ラヴィ―レ武蔵浦和(パンフレット)</t>
  </si>
  <si>
    <t>SOMPOケア ラヴィ―レ草加(パンフレット)</t>
  </si>
  <si>
    <t>SOMPOケア ラヴィ―レ西船橋(パンフレット)</t>
  </si>
  <si>
    <t>SOMPOケア ラヴィ―レ南大泉(パンフレット)</t>
  </si>
  <si>
    <t>SOMPOケア ラヴィ―レ津田沼(パンフレット)</t>
  </si>
  <si>
    <t>SOMPOケア ラヴィ―レ王禅寺(パンフレット)</t>
  </si>
  <si>
    <t>SOMPOケア ラヴィ―レ船堀(パンフレット)</t>
  </si>
  <si>
    <t>SOMPOケア ラヴィ―レ練馬(パンフレット)</t>
  </si>
  <si>
    <t>SOMPOケア ラヴィ―レ松戸(パンフレット)</t>
  </si>
  <si>
    <t>SOMPOケア ラヴィ―レ入間(パンフレット)</t>
  </si>
  <si>
    <t>SOMPOケア ラヴィ―レ朝霞(パンフレット)</t>
  </si>
  <si>
    <t>SOMPOケア ラヴィ―レ府中(パンフレット)</t>
  </si>
  <si>
    <t>SOMPOケア ラヴィ―レ狭山(パンフレット)</t>
  </si>
  <si>
    <t>SOMPOケア ラヴィ―レ武蔵境(パンフレット)</t>
  </si>
  <si>
    <t>SOMPOケア ラヴィ―レ八千代(パンフレット)</t>
  </si>
  <si>
    <t>SOMPOケア ラヴィ―レ東松戸(パンフレット)</t>
  </si>
  <si>
    <t>SOMPOケア ラヴィ―レ東所沢(パンフレット)</t>
  </si>
  <si>
    <t>SOMPOケア ラヴィ―レ鶴ヶ島(パンフレット)</t>
  </si>
  <si>
    <t>SOMPOケア ラヴィ―レ多摩川(パンフレット)</t>
  </si>
  <si>
    <t>SOMPOケア ラヴィ―レ国立矢川(パンフレット)</t>
  </si>
  <si>
    <t>SOMPOケア ラヴィ―レ羽田(パンフレット)</t>
  </si>
  <si>
    <t>SOMPOケア ラヴィ―レ川崎宮前(パンフレット)</t>
  </si>
  <si>
    <t>SOMPOケア ラヴィ―レ愛甲石田(パンフレット)</t>
  </si>
  <si>
    <t>SOMPOケア ラヴィ―レ習志野台(パンフレット)</t>
  </si>
  <si>
    <t>SOMPOケア ラヴィ―レ西宮(パンフレット)</t>
  </si>
  <si>
    <t>SOMPOケア ラヴィ―レ八潮(パンフレット)</t>
  </si>
  <si>
    <t>SOMPOケア ラヴィ―レ二子玉川(パンフレット)</t>
  </si>
  <si>
    <t>SOMPOケア ラヴィ―レ神戸垂水(パンフレット)</t>
  </si>
  <si>
    <t>SOMPOケア ラヴィ―レ大宮弐番館(パンフレット)</t>
  </si>
  <si>
    <t>SOMPOケア ラヴィ―レ戸塚(パンフレット)</t>
  </si>
  <si>
    <t>SOMPOケア ラヴィ―レ赤羽(パンフレット)</t>
  </si>
  <si>
    <t>SOMPOケア ラヴィ―レ高島平(パンフレット)</t>
  </si>
  <si>
    <t>SOMPOケア ラヴィ―レ横須賀(パンフレット)</t>
  </si>
  <si>
    <t>SOMPOケア ラヴィ―レ若葉台(パンフレット)</t>
  </si>
  <si>
    <t>SOMPOケア ハッピーデイズ溝の口</t>
    <phoneticPr fontId="10"/>
  </si>
  <si>
    <t>SOMPOケア ハッピーデイズ岸和田</t>
    <phoneticPr fontId="10"/>
  </si>
  <si>
    <t>SOMPOケア ラヴィ―レ洋光台(入居案内)</t>
  </si>
  <si>
    <t>SOMPOケア ラヴィ―レ高津(入居案内)</t>
  </si>
  <si>
    <t>SOMPOケア ラヴィ―レ大宮(入居案内)</t>
  </si>
  <si>
    <t>SOMPOケア ラヴィ―レ高座渋谷(入居案内)</t>
  </si>
  <si>
    <t>SOMPOケア ラヴィ―レ元住吉(入居案内)</t>
  </si>
  <si>
    <t>SOMPOケア ラヴィ―レ湘南平塚(入居案内)</t>
  </si>
  <si>
    <t>SOMPOケア ラヴィ―レ岸和田(入居案内)</t>
  </si>
  <si>
    <t>SOMPOケア ラヴィ―レ川口安行(入居案内)</t>
  </si>
  <si>
    <t>SOMPOケア ラヴィ―レ溝の口(入居案内)</t>
  </si>
  <si>
    <t>SOMPOケア ラヴィ―レ溝の口弐番館(入居案内)</t>
  </si>
  <si>
    <t>SOMPOケア ラヴィ―レ本厚木(入居案内)</t>
  </si>
  <si>
    <t>SOMPOケア ラヴィ―レみつわ台(入居案内)</t>
  </si>
  <si>
    <t>SOMPOケア ラヴィ―レ浜川崎(入居案内)</t>
  </si>
  <si>
    <t>SOMPOケア ラヴィ―レ世田谷船橋(入居案内)</t>
  </si>
  <si>
    <t>SOMPOケア ラヴィ―レ綱島(入居案内)</t>
  </si>
  <si>
    <t>SOMPOケア ラヴィ―レ広島光が丘(入居案内)</t>
  </si>
  <si>
    <t>SOMPOケア ラヴィ―レ北鎌倉(入居案内)</t>
  </si>
  <si>
    <t>SOMPOケア ラヴィ―レ神戸伊川谷(入居案内)</t>
  </si>
  <si>
    <t>SOMPOケア ラヴィ―レ錦糸町(入居案内)</t>
  </si>
  <si>
    <t>SOMPOケア ラヴィ―レ鷺ノ宮(入居案内)</t>
  </si>
  <si>
    <t>SOMPOケア ラヴィ―レ一之江(入居案内)</t>
  </si>
  <si>
    <t>SOMPOケア ラヴィ―レ古淵(入居案内)</t>
  </si>
  <si>
    <t>SOMPOケア ラヴィ―レ坂戸(入居案内)</t>
  </si>
  <si>
    <t>SOMPOケア ラヴィ―レ越谷(入居案内)</t>
  </si>
  <si>
    <t>SOMPOケア ラヴィ―レ八王子片倉(入居案内)</t>
  </si>
  <si>
    <t>SOMPOケア ラヴィ―レ南浦和(入居案内)</t>
  </si>
  <si>
    <t>SOMPOケア ラヴィ―レ西大宮(入居案内)</t>
  </si>
  <si>
    <t>SOMPOケア ラヴィ―レ大宮弐番館(入居案内)</t>
  </si>
  <si>
    <t>SOMPOケア ラヴィ―レ東大和(入居案内)</t>
  </si>
  <si>
    <t>SOMPOケア ラヴィ―レ衣笠山公園(入居案内)</t>
  </si>
  <si>
    <t>SOMPOケア ラヴィ―レ志木柳瀬川(入居案内)</t>
  </si>
  <si>
    <t>SOMPOケア ラヴィ―レ弁天町(入居案内)</t>
  </si>
  <si>
    <t>SOMPOケア ラヴィ―レ上溝(入居案内)</t>
  </si>
  <si>
    <t>SOMPOケア ラヴィ―レ金沢八景(入居案内)</t>
  </si>
  <si>
    <t>SOMPOケア ラヴィ―レ千葉椿森(入居案内)</t>
  </si>
  <si>
    <t>SOMPOケア ラヴィ―レ高島平(入居案内)</t>
  </si>
  <si>
    <t>SOMPOケア ラヴィ―レ武蔵浦和(入居案内)</t>
  </si>
  <si>
    <t>SOMPOケア ラヴィ―レ西船橋(入居案内)</t>
  </si>
  <si>
    <t>SOMPOケア ラヴィ―レ津田沼(入居案内)</t>
  </si>
  <si>
    <t>SOMPOケア ラヴィ―レ横須賀(入居案内)</t>
  </si>
  <si>
    <t>SOMPOケア ラヴィ―レ王禅寺(入居案内)</t>
  </si>
  <si>
    <t>SOMPOケア ラヴィ―レ船堀(入居案内)</t>
  </si>
  <si>
    <t>SOMPOケア ラヴィ―レ練馬(入居案内)</t>
  </si>
  <si>
    <t>SOMPOケア ラヴィ―レ府中(入居案内)</t>
  </si>
  <si>
    <t>SOMPOケア ラヴィ―レ狭山(入居案内)</t>
  </si>
  <si>
    <t>SOMPOケア ラヴィ―レ武蔵境(入居案内)</t>
  </si>
  <si>
    <t>SOMPOケア ラヴィ―レ八千代(入居案内)</t>
  </si>
  <si>
    <t>SOMPOケア ラヴィ―レ東所沢(入居案内)</t>
  </si>
  <si>
    <t>SOMPOケア ラヴィ―レ鶴ヶ島(入居案内)</t>
  </si>
  <si>
    <t>SOMPOケア ラヴィ―レ多摩川(入居案内)</t>
  </si>
  <si>
    <t>SOMPOケア ラヴィ―レ国立矢川(入居案内)</t>
  </si>
  <si>
    <t>SOMPOケア ラヴィ―レ川崎宮前(入居案内)</t>
  </si>
  <si>
    <t>SOMPOケア ラヴィ―レ愛甲石田(入居案内)</t>
  </si>
  <si>
    <t>SOMPOケア ラヴィ―レ羽村(入居案内)</t>
  </si>
  <si>
    <t>SOMPOケア ラヴィ―レ習志野台(入居案内)</t>
  </si>
  <si>
    <t>SOMPOケア ラヴィ―レ西宮(入居案内)</t>
  </si>
  <si>
    <t>SOMPOケア ラヴィ―レ二子玉川(入居案内)</t>
  </si>
  <si>
    <t>SOMPOケア ラヴィ―レ若葉台(入居案内)</t>
  </si>
  <si>
    <t>SOMPOケア ラヴィ―レ町田小山(入居案内)</t>
  </si>
  <si>
    <t>99</t>
  </si>
  <si>
    <t>100</t>
  </si>
  <si>
    <t>105</t>
  </si>
  <si>
    <t>113</t>
  </si>
  <si>
    <t>114</t>
  </si>
  <si>
    <t>115</t>
  </si>
  <si>
    <t>116</t>
  </si>
  <si>
    <t>117</t>
  </si>
  <si>
    <t>1</t>
    <phoneticPr fontId="10"/>
  </si>
  <si>
    <t>2</t>
    <phoneticPr fontId="10"/>
  </si>
  <si>
    <t>118</t>
  </si>
  <si>
    <t>SOMPOケア ラヴィ―レ町田小山(パンフレット)</t>
    <phoneticPr fontId="10"/>
  </si>
  <si>
    <t>SOMPOケア ラヴィ―レ飯能(パンフレット)</t>
    <phoneticPr fontId="10"/>
  </si>
  <si>
    <t>SOMPOケア ラヴィ―レ上福岡(パンフレット)</t>
    <phoneticPr fontId="10"/>
  </si>
  <si>
    <t>SOMPOケア ラヴィ―レ草加(入居案内)</t>
    <rPh sb="13" eb="15">
      <t>ソウカ</t>
    </rPh>
    <phoneticPr fontId="10"/>
  </si>
  <si>
    <t>SOMPOケア ラヴィ―レ六甲(入居案内)</t>
    <rPh sb="16" eb="18">
      <t>ニュウキョ</t>
    </rPh>
    <rPh sb="18" eb="20">
      <t>アンナイ</t>
    </rPh>
    <phoneticPr fontId="10"/>
  </si>
  <si>
    <t>SOMPOケア ラヴィ―レ飯能(入居案内)</t>
    <rPh sb="13" eb="15">
      <t>ハンノウ</t>
    </rPh>
    <phoneticPr fontId="10"/>
  </si>
  <si>
    <t>SOMPOケア ラヴィ―レ世田谷船橋(パンフレット)</t>
    <phoneticPr fontId="10"/>
  </si>
  <si>
    <t>SOMPOケア ラヴィ―レ東松戸(入居案内)</t>
    <phoneticPr fontId="10"/>
  </si>
  <si>
    <t>有（特記事項参照）</t>
  </si>
  <si>
    <t>有（上下2mm・縦2mm）</t>
    <rPh sb="0" eb="1">
      <t>アリ</t>
    </rPh>
    <rPh sb="2" eb="4">
      <t>ウエシタ</t>
    </rPh>
    <rPh sb="8" eb="9">
      <t>タテ</t>
    </rPh>
    <phoneticPr fontId="10"/>
  </si>
  <si>
    <t>SOMPOケア ラヴィ―レ座間(パンフレット)</t>
    <rPh sb="13" eb="15">
      <t>ザマ</t>
    </rPh>
    <phoneticPr fontId="10"/>
  </si>
  <si>
    <t>SOMPOケア ラヴィ―レ座間(入居案内)</t>
    <rPh sb="13" eb="15">
      <t>ザマ</t>
    </rPh>
    <rPh sb="16" eb="18">
      <t>ニュウキョ</t>
    </rPh>
    <rPh sb="18" eb="20">
      <t>アンナイ</t>
    </rPh>
    <phoneticPr fontId="10"/>
  </si>
  <si>
    <r>
      <t xml:space="preserve">（入居案内）
商品ｺｰﾄﾞ
</t>
    </r>
    <r>
      <rPr>
        <sz val="8"/>
        <rFont val="メイリオ"/>
        <family val="3"/>
        <charset val="128"/>
      </rPr>
      <t>CC固定6桁-N固定/</t>
    </r>
    <r>
      <rPr>
        <sz val="8"/>
        <color indexed="10"/>
        <rFont val="メイリオ"/>
        <family val="3"/>
        <charset val="128"/>
      </rPr>
      <t>YYMM/ABC・・・同月改訂履歴</t>
    </r>
    <rPh sb="16" eb="18">
      <t>コテイ</t>
    </rPh>
    <rPh sb="19" eb="20">
      <t>ケタ</t>
    </rPh>
    <rPh sb="22" eb="24">
      <t>コテイ</t>
    </rPh>
    <rPh sb="36" eb="38">
      <t>ドウゲツ</t>
    </rPh>
    <rPh sb="38" eb="40">
      <t>カイテイ</t>
    </rPh>
    <rPh sb="40" eb="42">
      <t>リレキ</t>
    </rPh>
    <phoneticPr fontId="10"/>
  </si>
  <si>
    <t>SOMPOケア ラヴィ―レ淵野辺(入居案内)</t>
    <phoneticPr fontId="10"/>
  </si>
  <si>
    <t>SOMPOケア ラヴィ―レ相模原中央(入居案内)</t>
    <phoneticPr fontId="10"/>
  </si>
  <si>
    <t>SOMPOケア ラヴィ―レ鷺ノ宮(パンフレット)</t>
    <phoneticPr fontId="10"/>
  </si>
  <si>
    <t>SOMPOケア ラヴィ―レ綾瀬(パンフレット)</t>
    <rPh sb="13" eb="15">
      <t>アヤセ</t>
    </rPh>
    <phoneticPr fontId="10"/>
  </si>
  <si>
    <t>SOMPOケア ラヴィ―レ綾瀬(入居案内)</t>
    <rPh sb="13" eb="15">
      <t>アヤセ</t>
    </rPh>
    <rPh sb="16" eb="18">
      <t>ニュウキョ</t>
    </rPh>
    <rPh sb="18" eb="20">
      <t>アンナイ</t>
    </rPh>
    <phoneticPr fontId="10"/>
  </si>
  <si>
    <t>SOMPOケア ラヴィ―レ六甲(パンフレット)</t>
    <phoneticPr fontId="10"/>
  </si>
  <si>
    <t>SOMPOケア ラヴィ―レ仙川(パンフレット)</t>
    <phoneticPr fontId="10"/>
  </si>
  <si>
    <t>SOMPOケア ラヴィ―レ十日市場(パンフレット)</t>
    <phoneticPr fontId="10"/>
  </si>
  <si>
    <t>SOMPOケア ラヴィ―レ西大宮(パンフレット)</t>
    <phoneticPr fontId="10"/>
  </si>
  <si>
    <t>SOMPOケア ラヴィ―レ岸和田 訪問サービスのご案内</t>
    <rPh sb="17" eb="19">
      <t>ホウモン</t>
    </rPh>
    <rPh sb="25" eb="27">
      <t>アンナイ</t>
    </rPh>
    <phoneticPr fontId="10"/>
  </si>
  <si>
    <t>SOMPOケア ラヴィ―レ葉山(パンフレット)</t>
    <phoneticPr fontId="10"/>
  </si>
  <si>
    <t>SOMPOケア ラヴィ―レ湘南平塚弐番館(入居案内)</t>
    <phoneticPr fontId="10"/>
  </si>
  <si>
    <t>単価</t>
    <rPh sb="0" eb="2">
      <t>タンカ</t>
    </rPh>
    <phoneticPr fontId="10"/>
  </si>
  <si>
    <t>金額</t>
    <rPh sb="0" eb="2">
      <t>キンガク</t>
    </rPh>
    <phoneticPr fontId="10"/>
  </si>
  <si>
    <t>新藤</t>
    <rPh sb="0" eb="2">
      <t>シンドウ</t>
    </rPh>
    <phoneticPr fontId="10"/>
  </si>
  <si>
    <t>SOMPOケア ラヴィ―レ光が丘公園(入居案内)</t>
    <phoneticPr fontId="10"/>
  </si>
  <si>
    <t>SOMPOケア ラヴィ―レ羽田(入居案内)</t>
    <phoneticPr fontId="10"/>
  </si>
  <si>
    <t>SOMPOケア ラヴィ―レ溝の口(パンフレット)</t>
    <phoneticPr fontId="10"/>
  </si>
  <si>
    <t>SOMPOケア ラヴィ―レ松戸(入居案内)</t>
    <phoneticPr fontId="10"/>
  </si>
  <si>
    <t>SOMPOケア ラヴィ―レ八潮(入居案内)</t>
    <phoneticPr fontId="10"/>
  </si>
  <si>
    <t>SOMPOケア ラヴィ―レ戸田(入居案内)</t>
    <phoneticPr fontId="10"/>
  </si>
  <si>
    <t>SOMPOケア ラヴィ―レ朝霞(入居案内)</t>
    <phoneticPr fontId="10"/>
  </si>
  <si>
    <t>SOMPOケア ラヴィ―レ神戸垂水(入居案内)</t>
    <phoneticPr fontId="10"/>
  </si>
  <si>
    <t>SOMPOケア ラヴィ―レ舟入(入居案内)</t>
    <phoneticPr fontId="10"/>
  </si>
  <si>
    <t>SOMPOケア ラヴィ―レ南堀江(入居案内)</t>
    <phoneticPr fontId="10"/>
  </si>
  <si>
    <t>SOMPOケア ラヴィ―レ海老名(パンフレット)</t>
    <phoneticPr fontId="10"/>
  </si>
  <si>
    <t>SOMPOケア ラヴィ―レ十日市場(入居案内)</t>
    <phoneticPr fontId="10"/>
  </si>
  <si>
    <t>SOMPOケア ラヴィ―レ流山おおたかの森(入居案内)</t>
    <phoneticPr fontId="10"/>
  </si>
  <si>
    <t>SOMPOケア ラヴィ―レ赤塚公園(入居案内)</t>
    <phoneticPr fontId="10"/>
  </si>
  <si>
    <t>SOMPOケア ラヴィ―レ小田原(入居案内)</t>
    <phoneticPr fontId="10"/>
  </si>
  <si>
    <t>SOMPOケア ラヴィ―レ厚木(入居案内)</t>
    <phoneticPr fontId="10"/>
  </si>
  <si>
    <t>SOMPOケア ラヴィ―レ堀之内(入居案内)</t>
    <phoneticPr fontId="10"/>
  </si>
  <si>
    <t>SOMPOケア ラヴィ―レ溝の口弐番館(パンフレット)</t>
    <phoneticPr fontId="10"/>
  </si>
  <si>
    <t>SOMPOケア ラヴィ―レ南堀江(パンフレット)</t>
    <phoneticPr fontId="10"/>
  </si>
  <si>
    <t>SOMPOケア ラヴィ―レ町田小野路(入居案内)</t>
    <phoneticPr fontId="10"/>
  </si>
  <si>
    <t>リコークリエイティブサービス株式会社</t>
  </si>
  <si>
    <t>備考</t>
  </si>
  <si>
    <t>SOMPOケア ラヴィ―レ赤羽(入居案内)</t>
    <phoneticPr fontId="10"/>
  </si>
  <si>
    <t>SOMPOケア ラヴィ―レ狛江(入居案内)</t>
    <phoneticPr fontId="10"/>
  </si>
  <si>
    <t>SOMPOケア ラヴィ―レ仙川(入居案内)</t>
    <phoneticPr fontId="10"/>
  </si>
  <si>
    <t>SOMPOケア ラヴィ―レ調布(入居案内)</t>
    <phoneticPr fontId="10"/>
  </si>
  <si>
    <t>SOMPOケア ラヴィ―レ南大泉(入居案内)</t>
    <phoneticPr fontId="10"/>
  </si>
  <si>
    <t>SOMPOケア ラヴィ―レ南町田(入居案内)</t>
    <phoneticPr fontId="10"/>
  </si>
  <si>
    <t>SOMPOケア ラヴィ―レ成田(入居案内)</t>
    <phoneticPr fontId="10"/>
  </si>
  <si>
    <t>SOMPOケア ラヴィ―レ勝田台(入居案内)</t>
    <phoneticPr fontId="10"/>
  </si>
  <si>
    <t>SOMPOケア ラヴィ―レ入間(入居案内)</t>
    <phoneticPr fontId="10"/>
  </si>
  <si>
    <t>SOMPOケア ラヴィ―レ上福岡(入居案内)</t>
    <phoneticPr fontId="10"/>
  </si>
  <si>
    <t>SOMPOケア ラヴィ―レ伊勢原(入居案内)</t>
    <phoneticPr fontId="10"/>
  </si>
  <si>
    <t>SOMPOケア ラヴィ―レ海老名(入居案内)</t>
    <phoneticPr fontId="10"/>
  </si>
  <si>
    <t>SOMPOケア ラヴィ―レ大磯(入居案内)</t>
    <phoneticPr fontId="10"/>
  </si>
  <si>
    <t>SOMPOケア ラヴィ―レ小田原弐番館(入居案内)</t>
    <phoneticPr fontId="10"/>
  </si>
  <si>
    <t>SOMPOケア ラヴィ―レ小田急相模原(入居案内)</t>
    <phoneticPr fontId="10"/>
  </si>
  <si>
    <t>SOMPOケア ラヴィ―レ鎌倉常盤(入居案内)</t>
    <phoneticPr fontId="10"/>
  </si>
  <si>
    <t>SOMPOケア ラヴィ―レ久里浜(入居案内)</t>
    <phoneticPr fontId="10"/>
  </si>
  <si>
    <t>SOMPOケア ラヴィ―レ座間谷戸山公園(入居案内)</t>
    <phoneticPr fontId="10"/>
  </si>
  <si>
    <t>SOMPOケア ラヴィ―レ中央林間(入居案内)</t>
    <phoneticPr fontId="10"/>
  </si>
  <si>
    <t>SOMPOケア ラヴィ―レ戸塚(入居案内)</t>
    <phoneticPr fontId="10"/>
  </si>
  <si>
    <t>SOMPOケア ラヴィ―レ東逗子(入居案内)</t>
    <phoneticPr fontId="10"/>
  </si>
  <si>
    <t>SOMPOケア ラヴィ―レ大和(入居案内)</t>
    <phoneticPr fontId="10"/>
  </si>
  <si>
    <t>トレクォーレ横須賀(入居案内)</t>
    <phoneticPr fontId="10"/>
  </si>
  <si>
    <t>東京都</t>
  </si>
  <si>
    <t>SOMPOケア ラヴィ―レあざみ野(入居案内)</t>
    <phoneticPr fontId="10"/>
  </si>
  <si>
    <t>140-0002</t>
  </si>
  <si>
    <t>品川区東品川4-12-8</t>
  </si>
  <si>
    <t>ＳＯＭＰＯケア株式会社（本社）</t>
    <rPh sb="12" eb="14">
      <t>ホンシャ</t>
    </rPh>
    <phoneticPr fontId="37"/>
  </si>
  <si>
    <t>品川シーサイドイーストタワー 12階</t>
  </si>
  <si>
    <t>各拠点</t>
    <rPh sb="0" eb="1">
      <t>カク</t>
    </rPh>
    <rPh sb="1" eb="3">
      <t>キョテン</t>
    </rPh>
    <phoneticPr fontId="37"/>
  </si>
  <si>
    <t>配送先パターン分けに用いる項目</t>
    <rPh sb="0" eb="2">
      <t>ハイソウ</t>
    </rPh>
    <rPh sb="2" eb="3">
      <t>サキ</t>
    </rPh>
    <rPh sb="7" eb="8">
      <t>ワ</t>
    </rPh>
    <rPh sb="10" eb="11">
      <t>モチ</t>
    </rPh>
    <rPh sb="13" eb="15">
      <t>コウモク</t>
    </rPh>
    <phoneticPr fontId="10"/>
  </si>
  <si>
    <t>○</t>
  </si>
  <si>
    <t>　</t>
  </si>
  <si>
    <t>ストア</t>
  </si>
  <si>
    <t>明細番号</t>
  </si>
  <si>
    <t>注文日</t>
  </si>
  <si>
    <t>顧客</t>
  </si>
  <si>
    <t>グループ</t>
  </si>
  <si>
    <t>発注者ID</t>
  </si>
  <si>
    <t>発注者ログインID</t>
  </si>
  <si>
    <t>発注者コード</t>
  </si>
  <si>
    <t>件名</t>
  </si>
  <si>
    <t>注文状態</t>
  </si>
  <si>
    <t>本発注日時</t>
  </si>
  <si>
    <t>単価</t>
  </si>
  <si>
    <t>小計</t>
  </si>
  <si>
    <t>注文小計</t>
  </si>
  <si>
    <t>消費税</t>
  </si>
  <si>
    <t>合計（税込）</t>
  </si>
  <si>
    <t>配送先名(ｱｲﾃﾑ別）</t>
  </si>
  <si>
    <t>配送先郵便番号(ｱｲﾃﾑ別）</t>
  </si>
  <si>
    <t>配送先住所1(ｱｲﾃﾑ別）</t>
  </si>
  <si>
    <t>配送先住所2(ｱｲﾃﾑ別）</t>
  </si>
  <si>
    <t>配送先住所3(ｱｲﾃﾑ別）</t>
  </si>
  <si>
    <t>配送先電話番号(ｱｲﾃﾑ別）</t>
  </si>
  <si>
    <t>配送先担当者名(ｱｲﾃﾑ別）</t>
  </si>
  <si>
    <t>入稿データ1</t>
  </si>
  <si>
    <t>入稿データ2</t>
  </si>
  <si>
    <t>入稿データ3</t>
  </si>
  <si>
    <t>入稿データ4</t>
  </si>
  <si>
    <t>入稿データ5</t>
  </si>
  <si>
    <t>入稿データ6</t>
  </si>
  <si>
    <t>入稿データ7</t>
  </si>
  <si>
    <t>入稿データ8</t>
  </si>
  <si>
    <t>入稿データ9</t>
  </si>
  <si>
    <t>入稿データ10</t>
  </si>
  <si>
    <t>配送業者番号</t>
  </si>
  <si>
    <t>出荷日</t>
  </si>
  <si>
    <t>配送備考</t>
  </si>
  <si>
    <t>対象ストア</t>
  </si>
  <si>
    <t>略称</t>
  </si>
  <si>
    <t>JANコード</t>
  </si>
  <si>
    <t>説明</t>
  </si>
  <si>
    <t>納期テキスト</t>
  </si>
  <si>
    <t>納期（標準）</t>
  </si>
  <si>
    <t>納期（最短）</t>
  </si>
  <si>
    <t>納期（締め切り時間）</t>
  </si>
  <si>
    <t>サムネイル</t>
  </si>
  <si>
    <t>アイテム詳細画像</t>
  </si>
  <si>
    <t>納品タイプ</t>
  </si>
  <si>
    <t>印刷版データ</t>
  </si>
  <si>
    <t>自由項目名1</t>
  </si>
  <si>
    <t>自由項目値1</t>
  </si>
  <si>
    <t>自由項目名2</t>
  </si>
  <si>
    <t>自由項目値2</t>
  </si>
  <si>
    <t>自由項目名3</t>
  </si>
  <si>
    <t>自由項目値3</t>
  </si>
  <si>
    <t>自由項目名4</t>
  </si>
  <si>
    <t>自由項目値4</t>
  </si>
  <si>
    <t>自由項目名5</t>
  </si>
  <si>
    <t>自由項目値5</t>
  </si>
  <si>
    <t>自由項目名6</t>
  </si>
  <si>
    <t>自由項目値6</t>
  </si>
  <si>
    <t>自由項目名7</t>
  </si>
  <si>
    <t>自由項目値7</t>
  </si>
  <si>
    <t>自由項目名8</t>
  </si>
  <si>
    <t>自由項目値8</t>
  </si>
  <si>
    <t>自由項目名9</t>
  </si>
  <si>
    <t>自由項目値9</t>
  </si>
  <si>
    <t>自由項目名10</t>
  </si>
  <si>
    <t>自由項目値10</t>
  </si>
  <si>
    <t>公開</t>
  </si>
  <si>
    <t>プロダクトコード</t>
  </si>
  <si>
    <t>プロダクト名</t>
  </si>
  <si>
    <t>プロダクト分類</t>
  </si>
  <si>
    <t>説明（商品プロダクト）</t>
  </si>
  <si>
    <t>デフォルトプロダクション</t>
  </si>
  <si>
    <t>パーツ名1</t>
  </si>
  <si>
    <t>版データ1</t>
  </si>
  <si>
    <t>パーツ名2</t>
  </si>
  <si>
    <t>版データ2</t>
  </si>
  <si>
    <t>パーツ名3</t>
  </si>
  <si>
    <t>版データ3</t>
  </si>
  <si>
    <t>パーツ名4</t>
  </si>
  <si>
    <t>版データ4</t>
  </si>
  <si>
    <t>パーツ名5</t>
  </si>
  <si>
    <t>版データ5</t>
  </si>
  <si>
    <t>仕上がりサイズ</t>
  </si>
  <si>
    <t>裁ち1</t>
  </si>
  <si>
    <t>色1表</t>
  </si>
  <si>
    <t>色1裏</t>
  </si>
  <si>
    <t>用紙1</t>
  </si>
  <si>
    <t>裁ち2</t>
  </si>
  <si>
    <t>色2表</t>
  </si>
  <si>
    <t>色2裏</t>
  </si>
  <si>
    <t>用紙2</t>
  </si>
  <si>
    <t>裁ち3</t>
  </si>
  <si>
    <t>色3表</t>
  </si>
  <si>
    <t>色3裏</t>
  </si>
  <si>
    <t>用紙3</t>
  </si>
  <si>
    <t>裁ち4</t>
  </si>
  <si>
    <t>色4表</t>
  </si>
  <si>
    <t>色4裏</t>
  </si>
  <si>
    <t>用紙4</t>
  </si>
  <si>
    <t>裁ち5</t>
  </si>
  <si>
    <t>色5表</t>
  </si>
  <si>
    <t>色5裏</t>
  </si>
  <si>
    <t>用紙5</t>
  </si>
  <si>
    <t>折り</t>
  </si>
  <si>
    <t>特記事項（折）</t>
  </si>
  <si>
    <t>製本</t>
  </si>
  <si>
    <t>製本部材</t>
  </si>
  <si>
    <t>製本部材カラー</t>
  </si>
  <si>
    <t>特記事項（製本）</t>
  </si>
  <si>
    <t>穴あけ</t>
  </si>
  <si>
    <t>特記事項（穴あけ）</t>
  </si>
  <si>
    <t>断裁</t>
  </si>
  <si>
    <t>特記事項（断裁）</t>
  </si>
  <si>
    <t>その他加工1</t>
  </si>
  <si>
    <t>特記事項（その他加工1)</t>
  </si>
  <si>
    <t>その他加工2</t>
  </si>
  <si>
    <t>特記事項（その他加工2)</t>
  </si>
  <si>
    <t>その他加工3</t>
  </si>
  <si>
    <t>特記事項（その他加工3)</t>
  </si>
  <si>
    <t>その他加工4</t>
  </si>
  <si>
    <t>特記事項（その他加工4)</t>
  </si>
  <si>
    <t>その他加工5</t>
  </si>
  <si>
    <t>特記事項（その他加工5)</t>
  </si>
  <si>
    <t>指示区分</t>
    <rPh sb="0" eb="2">
      <t>シジ</t>
    </rPh>
    <rPh sb="2" eb="4">
      <t>クブン</t>
    </rPh>
    <phoneticPr fontId="10"/>
  </si>
  <si>
    <t>荷主出荷指示NO</t>
  </si>
  <si>
    <t>荷主出荷指示行NO</t>
  </si>
  <si>
    <t>出荷予定日</t>
  </si>
  <si>
    <t>納品予定日</t>
  </si>
  <si>
    <t>指定運送業者</t>
    <rPh sb="0" eb="2">
      <t>シテイ</t>
    </rPh>
    <rPh sb="2" eb="4">
      <t>ウンソウ</t>
    </rPh>
    <rPh sb="4" eb="6">
      <t>ギョウシャ</t>
    </rPh>
    <phoneticPr fontId="10"/>
  </si>
  <si>
    <t>納品時刻（JUST指定）</t>
    <rPh sb="9" eb="11">
      <t>シテイ</t>
    </rPh>
    <phoneticPr fontId="10"/>
  </si>
  <si>
    <t>出庫区分</t>
  </si>
  <si>
    <t>依頼BU</t>
    <rPh sb="0" eb="2">
      <t>イライ</t>
    </rPh>
    <phoneticPr fontId="10"/>
  </si>
  <si>
    <t>届け先コード</t>
  </si>
  <si>
    <t>届け先名称１</t>
  </si>
  <si>
    <t>届け先名称２</t>
  </si>
  <si>
    <t>届け先名称３</t>
  </si>
  <si>
    <t>届け先郵便番号</t>
    <rPh sb="0" eb="1">
      <t>トド</t>
    </rPh>
    <rPh sb="2" eb="3">
      <t>サキ</t>
    </rPh>
    <rPh sb="3" eb="5">
      <t>ユウビン</t>
    </rPh>
    <rPh sb="5" eb="7">
      <t>バンゴウ</t>
    </rPh>
    <phoneticPr fontId="10"/>
  </si>
  <si>
    <t>届け先住所１</t>
  </si>
  <si>
    <t>届け先住所２</t>
  </si>
  <si>
    <t>届け先住所３</t>
  </si>
  <si>
    <t>作業備考</t>
    <rPh sb="0" eb="2">
      <t>サギョウ</t>
    </rPh>
    <rPh sb="2" eb="4">
      <t>ビコウ</t>
    </rPh>
    <phoneticPr fontId="10"/>
  </si>
  <si>
    <t>運送備考</t>
    <rPh sb="0" eb="2">
      <t>ウンソウ</t>
    </rPh>
    <rPh sb="2" eb="4">
      <t>ビコウ</t>
    </rPh>
    <phoneticPr fontId="10"/>
  </si>
  <si>
    <t>商品名称</t>
  </si>
  <si>
    <t>品質区分</t>
  </si>
  <si>
    <t>出荷予定数量</t>
  </si>
  <si>
    <t>発注№</t>
    <rPh sb="0" eb="2">
      <t>ハッチュウ</t>
    </rPh>
    <phoneticPr fontId="10"/>
  </si>
  <si>
    <t>商品明細備考</t>
    <rPh sb="0" eb="2">
      <t>ショウヒン</t>
    </rPh>
    <rPh sb="2" eb="4">
      <t>メイサイ</t>
    </rPh>
    <rPh sb="4" eb="6">
      <t>ビコウ</t>
    </rPh>
    <phoneticPr fontId="10"/>
  </si>
  <si>
    <t>印刷用明細</t>
    <rPh sb="0" eb="2">
      <t>インサツヨウ</t>
    </rPh>
    <rPh sb="2" eb="4">
      <t>メイサイ</t>
    </rPh>
    <phoneticPr fontId="10"/>
  </si>
  <si>
    <t>ロットNO1</t>
  </si>
  <si>
    <t>ロットNO2</t>
  </si>
  <si>
    <t>ロットNO3</t>
  </si>
  <si>
    <t>個別管理番号</t>
  </si>
  <si>
    <t>得意先コード</t>
    <rPh sb="0" eb="3">
      <t>トクイサキ</t>
    </rPh>
    <phoneticPr fontId="10"/>
  </si>
  <si>
    <t>得意先名称１</t>
    <rPh sb="0" eb="3">
      <t>トクイサキ</t>
    </rPh>
    <phoneticPr fontId="10"/>
  </si>
  <si>
    <t>得意先郵便番号</t>
    <rPh sb="3" eb="5">
      <t>ユウビン</t>
    </rPh>
    <rPh sb="5" eb="7">
      <t>バンゴウ</t>
    </rPh>
    <phoneticPr fontId="10"/>
  </si>
  <si>
    <t>梱包設計区分</t>
    <rPh sb="0" eb="2">
      <t>コンポウ</t>
    </rPh>
    <rPh sb="2" eb="4">
      <t>セッケイ</t>
    </rPh>
    <rPh sb="4" eb="6">
      <t>クブン</t>
    </rPh>
    <phoneticPr fontId="10"/>
  </si>
  <si>
    <t>作業Ｇ決定用項目</t>
  </si>
  <si>
    <t>運送Ｇ決定用項目</t>
  </si>
  <si>
    <t>荷送人区分</t>
    <rPh sb="0" eb="2">
      <t>ニオクリ</t>
    </rPh>
    <rPh sb="2" eb="3">
      <t>ジン</t>
    </rPh>
    <rPh sb="3" eb="5">
      <t>クブン</t>
    </rPh>
    <phoneticPr fontId="10"/>
  </si>
  <si>
    <t>請求先CD</t>
    <rPh sb="0" eb="2">
      <t>セイキュウ</t>
    </rPh>
    <rPh sb="2" eb="3">
      <t>サキ</t>
    </rPh>
    <phoneticPr fontId="10"/>
  </si>
  <si>
    <t>請求先会社名１</t>
    <rPh sb="3" eb="6">
      <t>カイシャメイ</t>
    </rPh>
    <phoneticPr fontId="10"/>
  </si>
  <si>
    <t>請求先会社名２</t>
    <rPh sb="3" eb="6">
      <t>カイシャメイ</t>
    </rPh>
    <phoneticPr fontId="10"/>
  </si>
  <si>
    <t>請求先会社名３</t>
    <rPh sb="3" eb="6">
      <t>カイシャメイ</t>
    </rPh>
    <phoneticPr fontId="10"/>
  </si>
  <si>
    <t>請求先郵便番号</t>
    <rPh sb="3" eb="5">
      <t>ユウビン</t>
    </rPh>
    <rPh sb="5" eb="7">
      <t>バンゴウ</t>
    </rPh>
    <phoneticPr fontId="10"/>
  </si>
  <si>
    <t>請求先住所１</t>
    <rPh sb="3" eb="5">
      <t>ジュウショ</t>
    </rPh>
    <phoneticPr fontId="10"/>
  </si>
  <si>
    <t>請求先住所２</t>
    <rPh sb="3" eb="5">
      <t>ジュウショ</t>
    </rPh>
    <phoneticPr fontId="10"/>
  </si>
  <si>
    <t>請求先住所３</t>
    <rPh sb="3" eb="5">
      <t>ジュウショ</t>
    </rPh>
    <phoneticPr fontId="10"/>
  </si>
  <si>
    <t>伝票種</t>
    <rPh sb="0" eb="2">
      <t>デンピョウ</t>
    </rPh>
    <rPh sb="2" eb="3">
      <t>シュ</t>
    </rPh>
    <phoneticPr fontId="10"/>
  </si>
  <si>
    <t>印字フォーマット</t>
    <rPh sb="0" eb="2">
      <t>インジ</t>
    </rPh>
    <phoneticPr fontId="10"/>
  </si>
  <si>
    <t>荷主指示１</t>
    <rPh sb="0" eb="2">
      <t>ニヌシ</t>
    </rPh>
    <rPh sb="2" eb="4">
      <t>シジ</t>
    </rPh>
    <phoneticPr fontId="10"/>
  </si>
  <si>
    <t>荷主指示２</t>
    <rPh sb="0" eb="2">
      <t>ニヌシ</t>
    </rPh>
    <rPh sb="2" eb="4">
      <t>シジ</t>
    </rPh>
    <phoneticPr fontId="10"/>
  </si>
  <si>
    <t>荷主指示３</t>
    <rPh sb="0" eb="2">
      <t>ニヌシ</t>
    </rPh>
    <rPh sb="2" eb="4">
      <t>シジ</t>
    </rPh>
    <phoneticPr fontId="10"/>
  </si>
  <si>
    <t>荷主指示４</t>
    <rPh sb="0" eb="2">
      <t>ニヌシ</t>
    </rPh>
    <rPh sb="2" eb="4">
      <t>シジ</t>
    </rPh>
    <phoneticPr fontId="10"/>
  </si>
  <si>
    <t>荷主指示５</t>
    <rPh sb="0" eb="2">
      <t>ニヌシ</t>
    </rPh>
    <rPh sb="2" eb="4">
      <t>シジ</t>
    </rPh>
    <phoneticPr fontId="10"/>
  </si>
  <si>
    <t>納品書印字用項目１</t>
  </si>
  <si>
    <t>納品書印字用項目２</t>
  </si>
  <si>
    <t>納品書印字用項目３</t>
  </si>
  <si>
    <t>納品書印字用項目４</t>
  </si>
  <si>
    <t>納品書印字用項目５</t>
  </si>
  <si>
    <t>納品書印字用項目６</t>
  </si>
  <si>
    <t>納品書印字用項目７</t>
  </si>
  <si>
    <t>納品書印字用項目８</t>
  </si>
  <si>
    <t>納品書印字用項目９</t>
  </si>
  <si>
    <t xml:space="preserve">納品書印字用項目１０	</t>
  </si>
  <si>
    <t>納品書印字用備考</t>
  </si>
  <si>
    <t>納品書印字用項目数字型１</t>
    <rPh sb="8" eb="10">
      <t>スウジ</t>
    </rPh>
    <rPh sb="10" eb="11">
      <t>カタ</t>
    </rPh>
    <phoneticPr fontId="10"/>
  </si>
  <si>
    <t>納品書印字用項目数字型２</t>
    <rPh sb="8" eb="10">
      <t>スウジ</t>
    </rPh>
    <rPh sb="10" eb="11">
      <t>カタ</t>
    </rPh>
    <phoneticPr fontId="10"/>
  </si>
  <si>
    <t>納品書印字用項目数字型３</t>
    <rPh sb="8" eb="10">
      <t>スウジ</t>
    </rPh>
    <rPh sb="10" eb="11">
      <t>カタ</t>
    </rPh>
    <phoneticPr fontId="10"/>
  </si>
  <si>
    <t>納品書印字用項目数字型４</t>
    <rPh sb="8" eb="10">
      <t>スウジ</t>
    </rPh>
    <rPh sb="10" eb="11">
      <t>カタ</t>
    </rPh>
    <phoneticPr fontId="10"/>
  </si>
  <si>
    <t>納品書印字用項目数字型５</t>
    <rPh sb="8" eb="10">
      <t>スウジ</t>
    </rPh>
    <rPh sb="10" eb="11">
      <t>カタ</t>
    </rPh>
    <phoneticPr fontId="10"/>
  </si>
  <si>
    <t>納品書印字用項目数字型６</t>
    <rPh sb="8" eb="10">
      <t>スウジ</t>
    </rPh>
    <rPh sb="10" eb="11">
      <t>カタ</t>
    </rPh>
    <phoneticPr fontId="10"/>
  </si>
  <si>
    <t>納品書印字用項目数字型７</t>
    <rPh sb="8" eb="10">
      <t>スウジ</t>
    </rPh>
    <rPh sb="10" eb="11">
      <t>カタ</t>
    </rPh>
    <phoneticPr fontId="10"/>
  </si>
  <si>
    <t>納品書印字用項目数字型８</t>
    <rPh sb="8" eb="10">
      <t>スウジ</t>
    </rPh>
    <rPh sb="10" eb="11">
      <t>カタ</t>
    </rPh>
    <phoneticPr fontId="10"/>
  </si>
  <si>
    <t>納品書印字用項目数字型９</t>
    <rPh sb="8" eb="10">
      <t>スウジ</t>
    </rPh>
    <rPh sb="10" eb="11">
      <t>カタ</t>
    </rPh>
    <phoneticPr fontId="10"/>
  </si>
  <si>
    <t>納品書印字用項目数字型１０</t>
    <rPh sb="8" eb="10">
      <t>スウジ</t>
    </rPh>
    <rPh sb="10" eb="11">
      <t>カタ</t>
    </rPh>
    <phoneticPr fontId="10"/>
  </si>
  <si>
    <t>代引き金額（税込み）</t>
    <rPh sb="0" eb="1">
      <t>ダイ</t>
    </rPh>
    <rPh sb="1" eb="2">
      <t>ビ</t>
    </rPh>
    <rPh sb="3" eb="5">
      <t>キンガク</t>
    </rPh>
    <rPh sb="6" eb="8">
      <t>ゼイコ</t>
    </rPh>
    <phoneticPr fontId="10"/>
  </si>
  <si>
    <t>代引き金内 消費税額等</t>
    <rPh sb="0" eb="1">
      <t>ダイ</t>
    </rPh>
    <rPh sb="1" eb="2">
      <t>ビ</t>
    </rPh>
    <rPh sb="3" eb="5">
      <t>カネウチ</t>
    </rPh>
    <rPh sb="6" eb="9">
      <t>ショウヒゼイ</t>
    </rPh>
    <rPh sb="9" eb="10">
      <t>ガク</t>
    </rPh>
    <rPh sb="10" eb="11">
      <t>ナド</t>
    </rPh>
    <phoneticPr fontId="10"/>
  </si>
  <si>
    <t>指定車種区分</t>
    <rPh sb="0" eb="2">
      <t>シテイ</t>
    </rPh>
    <rPh sb="2" eb="4">
      <t>シャシュ</t>
    </rPh>
    <rPh sb="4" eb="6">
      <t>クブン</t>
    </rPh>
    <phoneticPr fontId="10"/>
  </si>
  <si>
    <t>荷主コード</t>
  </si>
  <si>
    <t>在庫Gコード</t>
  </si>
  <si>
    <t>荷主入庫予定NO</t>
  </si>
  <si>
    <t>荷主入庫予定行NO</t>
  </si>
  <si>
    <t>入庫区分</t>
  </si>
  <si>
    <t>伝票区分</t>
  </si>
  <si>
    <t>入庫予定日</t>
  </si>
  <si>
    <t>商品名補足１</t>
  </si>
  <si>
    <t>商品名補足２</t>
  </si>
  <si>
    <t>品質</t>
  </si>
  <si>
    <t>入庫予定数</t>
  </si>
  <si>
    <t>ロット１</t>
  </si>
  <si>
    <t>ロット２</t>
  </si>
  <si>
    <t>ロット３</t>
  </si>
  <si>
    <t>シリアル№</t>
  </si>
  <si>
    <t>期限日１</t>
  </si>
  <si>
    <t>期限日２</t>
  </si>
  <si>
    <t>期限日３</t>
  </si>
  <si>
    <t>先出キー</t>
  </si>
  <si>
    <t>明細備考</t>
  </si>
  <si>
    <t>バーコード</t>
  </si>
  <si>
    <t>実重量</t>
  </si>
  <si>
    <t>依頼BU</t>
  </si>
  <si>
    <t>依頼元CD</t>
  </si>
  <si>
    <t>依頼元名称１</t>
  </si>
  <si>
    <t>依頼元名称２</t>
  </si>
  <si>
    <t>依頼元名称３</t>
  </si>
  <si>
    <t>依頼元TEL</t>
  </si>
  <si>
    <t>送り元CD</t>
  </si>
  <si>
    <t>送り元名称１</t>
  </si>
  <si>
    <t>送り元名称２</t>
  </si>
  <si>
    <t>送り元名称３</t>
  </si>
  <si>
    <t>メーカーCD</t>
  </si>
  <si>
    <t>メーカー名</t>
  </si>
  <si>
    <t>優先入庫区分</t>
  </si>
  <si>
    <t>予備１　テキスト型</t>
  </si>
  <si>
    <t>予備２　テキスト型</t>
  </si>
  <si>
    <t>予備３　テキスト型</t>
  </si>
  <si>
    <t>予備４　テキスト型</t>
  </si>
  <si>
    <t>予備５　テキスト型</t>
  </si>
  <si>
    <t>予備６　テキスト型</t>
  </si>
  <si>
    <t>予備７　テキスト型</t>
  </si>
  <si>
    <t>予備８　テキスト型</t>
  </si>
  <si>
    <t>予備９　テキスト型</t>
  </si>
  <si>
    <t>予備１０　テキスト型</t>
  </si>
  <si>
    <t>予備１１　数値型</t>
  </si>
  <si>
    <t>予備１２　数値型</t>
  </si>
  <si>
    <t>予備１３　数値型</t>
  </si>
  <si>
    <t>予備１４　数値型</t>
  </si>
  <si>
    <t>予備１５　数値型</t>
  </si>
  <si>
    <t>届け先TEL</t>
  </si>
  <si>
    <t>orderDetail</t>
    <phoneticPr fontId="10"/>
  </si>
  <si>
    <t>入庫取込データのヘッダー</t>
    <rPh sb="0" eb="2">
      <t>ニュウコ</t>
    </rPh>
    <rPh sb="2" eb="3">
      <t>ト</t>
    </rPh>
    <rPh sb="3" eb="4">
      <t>コ</t>
    </rPh>
    <phoneticPr fontId="10"/>
  </si>
  <si>
    <t>出荷データのヘッダー</t>
    <rPh sb="0" eb="2">
      <t>シュッカ</t>
    </rPh>
    <phoneticPr fontId="10"/>
  </si>
  <si>
    <t>注文一覧</t>
    <rPh sb="0" eb="1">
      <t>チュウ</t>
    </rPh>
    <rPh sb="1" eb="2">
      <t>モン</t>
    </rPh>
    <rPh sb="2" eb="4">
      <t>イチラン</t>
    </rPh>
    <phoneticPr fontId="10"/>
  </si>
  <si>
    <t>新藤Cに手配依頼するデータ</t>
    <rPh sb="0" eb="2">
      <t>シンドウ</t>
    </rPh>
    <rPh sb="4" eb="6">
      <t>テハイ</t>
    </rPh>
    <rPh sb="6" eb="8">
      <t>イライ</t>
    </rPh>
    <phoneticPr fontId="10"/>
  </si>
  <si>
    <t>マルテックスで商品をピックし、RLCが配送するデータ</t>
    <phoneticPr fontId="10"/>
  </si>
  <si>
    <t>マルテックスが配送まで手配するデータ</t>
    <phoneticPr fontId="10"/>
  </si>
  <si>
    <t>指定納品時刻区分</t>
    <phoneticPr fontId="10"/>
  </si>
  <si>
    <t>緊急フラグ</t>
    <phoneticPr fontId="10"/>
  </si>
  <si>
    <t>届け先TEL</t>
    <phoneticPr fontId="10"/>
  </si>
  <si>
    <t>届け先FAX</t>
    <phoneticPr fontId="10"/>
  </si>
  <si>
    <t>得意先名称２</t>
    <phoneticPr fontId="10"/>
  </si>
  <si>
    <t>得意先名称３</t>
    <phoneticPr fontId="10"/>
  </si>
  <si>
    <t>得意先住所１</t>
    <phoneticPr fontId="10"/>
  </si>
  <si>
    <t>得意先住所２</t>
    <phoneticPr fontId="10"/>
  </si>
  <si>
    <t>得意先住所３</t>
    <phoneticPr fontId="10"/>
  </si>
  <si>
    <t>得意先TEL</t>
    <phoneticPr fontId="10"/>
  </si>
  <si>
    <t>得意先FAX</t>
    <phoneticPr fontId="10"/>
  </si>
  <si>
    <t>グルーピングキー</t>
    <phoneticPr fontId="10"/>
  </si>
  <si>
    <t>個別梱包区分</t>
    <phoneticPr fontId="10"/>
  </si>
  <si>
    <t>集約値</t>
    <phoneticPr fontId="10"/>
  </si>
  <si>
    <t>請求先TEL</t>
    <phoneticPr fontId="10"/>
  </si>
  <si>
    <t>請求先FAX</t>
    <phoneticPr fontId="10"/>
  </si>
  <si>
    <t>商品カテゴリ</t>
    <rPh sb="0" eb="2">
      <t>ショウヒン</t>
    </rPh>
    <phoneticPr fontId="10"/>
  </si>
  <si>
    <t>梱包個数</t>
    <rPh sb="0" eb="2">
      <t>コンポウ</t>
    </rPh>
    <rPh sb="2" eb="4">
      <t>コスウ</t>
    </rPh>
    <phoneticPr fontId="10"/>
  </si>
  <si>
    <t>A</t>
    <phoneticPr fontId="10"/>
  </si>
  <si>
    <t>B</t>
    <phoneticPr fontId="10"/>
  </si>
  <si>
    <t>C</t>
    <phoneticPr fontId="10"/>
  </si>
  <si>
    <t>商品コード</t>
    <rPh sb="0" eb="2">
      <t>ショウヒン</t>
    </rPh>
    <phoneticPr fontId="10"/>
  </si>
  <si>
    <t>内容</t>
    <rPh sb="0" eb="2">
      <t>ナイヨウ</t>
    </rPh>
    <phoneticPr fontId="10"/>
  </si>
  <si>
    <t>祝日</t>
    <rPh sb="0" eb="2">
      <t>シュクジツ</t>
    </rPh>
    <phoneticPr fontId="10"/>
  </si>
  <si>
    <t>元日</t>
  </si>
  <si>
    <t>成人の日</t>
  </si>
  <si>
    <t>建国記念の日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</si>
  <si>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</si>
  <si>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</si>
  <si>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</si>
  <si>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</si>
  <si>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</si>
  <si>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</si>
  <si>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</si>
  <si>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</si>
  <si>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</si>
  <si>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</si>
  <si>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</si>
  <si>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</si>
  <si>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</si>
  <si>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都道府県</t>
    <rPh sb="0" eb="4">
      <t>トドウフケン</t>
    </rPh>
    <phoneticPr fontId="10"/>
  </si>
  <si>
    <t>配送日数</t>
    <rPh sb="0" eb="2">
      <t>ハイソウ</t>
    </rPh>
    <rPh sb="2" eb="4">
      <t>ニッスウ</t>
    </rPh>
    <phoneticPr fontId="10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</si>
  <si>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</si>
  <si>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</si>
  <si>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</si>
  <si>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</si>
  <si>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</si>
  <si>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</si>
  <si>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</si>
  <si>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</si>
  <si>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</si>
  <si>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</si>
  <si>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</si>
  <si>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</si>
  <si>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</si>
  <si>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</si>
  <si>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</si>
  <si>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</si>
  <si>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</si>
  <si>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</si>
  <si>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</si>
  <si>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</si>
  <si>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</si>
  <si>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</si>
  <si>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</si>
  <si>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</si>
  <si>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</si>
  <si>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</si>
  <si>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</si>
  <si>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</si>
  <si>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</si>
  <si>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</si>
  <si>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</si>
  <si>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</si>
  <si>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</si>
  <si>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</si>
  <si>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</si>
  <si>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</si>
  <si>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</si>
  <si>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</si>
  <si>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</si>
  <si>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</si>
  <si>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</si>
  <si>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</si>
  <si>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</si>
  <si>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</si>
  <si>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</si>
  <si>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</si>
  <si>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入庫取込データ</t>
    <rPh sb="0" eb="2">
      <t>ニュウコ</t>
    </rPh>
    <rPh sb="2" eb="4">
      <t>トリコミ</t>
    </rPh>
    <phoneticPr fontId="10"/>
  </si>
  <si>
    <t>出荷データ</t>
    <rPh sb="0" eb="2">
      <t>シュッカ</t>
    </rPh>
    <phoneticPr fontId="10"/>
  </si>
  <si>
    <t>2.以下のメッセージが出力されますので、「OK」ボタンを押下します。</t>
    <rPh sb="2" eb="4">
      <t>イカ</t>
    </rPh>
    <rPh sb="11" eb="13">
      <t>シュツリョク</t>
    </rPh>
    <rPh sb="28" eb="30">
      <t>オウカ</t>
    </rPh>
    <phoneticPr fontId="10"/>
  </si>
  <si>
    <t>3.取り込みたいCSVファイル（orderDetail.csv）を選択し、「OK」ボタンを押下します。</t>
    <rPh sb="2" eb="3">
      <t>ト</t>
    </rPh>
    <rPh sb="4" eb="5">
      <t>コ</t>
    </rPh>
    <rPh sb="33" eb="35">
      <t>センタク</t>
    </rPh>
    <rPh sb="45" eb="47">
      <t>オウカ</t>
    </rPh>
    <phoneticPr fontId="10"/>
  </si>
  <si>
    <t>★「w2pデータ取り込み」ボタン★</t>
    <rPh sb="8" eb="9">
      <t>ト</t>
    </rPh>
    <rPh sb="10" eb="11">
      <t>コ</t>
    </rPh>
    <phoneticPr fontId="10"/>
  </si>
  <si>
    <t>★「配送拠点データ統合」ボタン★</t>
    <rPh sb="2" eb="4">
      <t>ハイソウ</t>
    </rPh>
    <rPh sb="4" eb="6">
      <t>キョテン</t>
    </rPh>
    <rPh sb="9" eb="11">
      <t>トウゴウ</t>
    </rPh>
    <phoneticPr fontId="10"/>
  </si>
  <si>
    <t>2.統合対象のCSVファイルを複数選択し、開くボタンを押下します。</t>
    <rPh sb="2" eb="4">
      <t>トウゴウ</t>
    </rPh>
    <rPh sb="4" eb="6">
      <t>タイショウ</t>
    </rPh>
    <rPh sb="15" eb="17">
      <t>フクスウ</t>
    </rPh>
    <rPh sb="17" eb="19">
      <t>センタク</t>
    </rPh>
    <rPh sb="21" eb="22">
      <t>ヒラ</t>
    </rPh>
    <rPh sb="27" eb="29">
      <t>オウカ</t>
    </rPh>
    <phoneticPr fontId="10"/>
  </si>
  <si>
    <t>3.以下のメッセージが出力され処理が完了します。</t>
    <rPh sb="2" eb="4">
      <t>イカ</t>
    </rPh>
    <rPh sb="11" eb="13">
      <t>シュツリョク</t>
    </rPh>
    <rPh sb="15" eb="17">
      <t>ショリ</t>
    </rPh>
    <rPh sb="18" eb="20">
      <t>カンリョウ</t>
    </rPh>
    <phoneticPr fontId="10"/>
  </si>
  <si>
    <t>処理が完了すると以下のフォルダ構成でファイルが作成されます。　※「YYYYMMDD」は当日の日付</t>
    <rPh sb="0" eb="2">
      <t>ショリ</t>
    </rPh>
    <rPh sb="3" eb="5">
      <t>カンリョウ</t>
    </rPh>
    <rPh sb="8" eb="10">
      <t>イカ</t>
    </rPh>
    <rPh sb="15" eb="17">
      <t>コウセイ</t>
    </rPh>
    <rPh sb="23" eb="25">
      <t>サクセイ</t>
    </rPh>
    <phoneticPr fontId="10"/>
  </si>
  <si>
    <t>1.「★作業指示書作成ツール.xls」を開き、「W2Pデータ貼り付け」シートの「w2pデータ取り込み」ボタンを押下します。　※緑色で色づけされたシートは設定シートになります。</t>
    <rPh sb="46" eb="47">
      <t>ト</t>
    </rPh>
    <rPh sb="48" eb="49">
      <t>コ</t>
    </rPh>
    <rPh sb="55" eb="57">
      <t>オウカ</t>
    </rPh>
    <rPh sb="63" eb="65">
      <t>ミドリイロ</t>
    </rPh>
    <rPh sb="66" eb="67">
      <t>イロ</t>
    </rPh>
    <rPh sb="76" eb="78">
      <t>セッテイ</t>
    </rPh>
    <phoneticPr fontId="10"/>
  </si>
  <si>
    <t>項目名</t>
    <rPh sb="0" eb="2">
      <t>コウモク</t>
    </rPh>
    <rPh sb="2" eb="3">
      <t>メイ</t>
    </rPh>
    <phoneticPr fontId="10"/>
  </si>
  <si>
    <t>作成するファイル名</t>
    <rPh sb="0" eb="2">
      <t>サクセイ</t>
    </rPh>
    <rPh sb="8" eb="9">
      <t>メイ</t>
    </rPh>
    <phoneticPr fontId="10"/>
  </si>
  <si>
    <t>出力するファイル名</t>
    <rPh sb="0" eb="2">
      <t>シュツリョク</t>
    </rPh>
    <rPh sb="8" eb="9">
      <t>メイ</t>
    </rPh>
    <phoneticPr fontId="10"/>
  </si>
  <si>
    <t>1.「★作業指示書作成ツール.xls」と「作業指示書　兼　記録表マスタ.xlt」を同じフォルダ上に格納します。</t>
    <rPh sb="49" eb="51">
      <t>カクノウ</t>
    </rPh>
    <phoneticPr fontId="10"/>
  </si>
  <si>
    <t>　　YYYYMMDD</t>
    <phoneticPr fontId="10"/>
  </si>
  <si>
    <t>1.「★作業指示書作成ツール.xls」を開き、「W2Pデータ貼り付け」シートの「拠点配送データ統合」ボタンを押下します。</t>
    <rPh sb="40" eb="42">
      <t>キョテン</t>
    </rPh>
    <rPh sb="42" eb="44">
      <t>ハイソウ</t>
    </rPh>
    <rPh sb="47" eb="49">
      <t>トウゴウ</t>
    </rPh>
    <rPh sb="54" eb="56">
      <t>オウカ</t>
    </rPh>
    <phoneticPr fontId="10"/>
  </si>
  <si>
    <t xml:space="preserve">    【受注データ csv】</t>
    <phoneticPr fontId="10"/>
  </si>
  <si>
    <t>作業指示書　兼　記録表＜商品コード_受注No._納期＞.xls</t>
    <phoneticPr fontId="10"/>
  </si>
  <si>
    <t>【拠点用】</t>
    <phoneticPr fontId="10"/>
  </si>
  <si>
    <t>4.以下のメッセージが出力されるので、色分けされた内容を確認し、問題があれば修正してください。</t>
    <rPh sb="2" eb="4">
      <t>イカ</t>
    </rPh>
    <rPh sb="11" eb="13">
      <t>シュツリョク</t>
    </rPh>
    <rPh sb="19" eb="21">
      <t>イロワ</t>
    </rPh>
    <rPh sb="25" eb="27">
      <t>ナイヨウ</t>
    </rPh>
    <rPh sb="28" eb="30">
      <t>カクニン</t>
    </rPh>
    <rPh sb="32" eb="34">
      <t>モンダイ</t>
    </rPh>
    <rPh sb="38" eb="40">
      <t>シュウセイ</t>
    </rPh>
    <phoneticPr fontId="10"/>
  </si>
  <si>
    <t>5.「作業指示書作成」ボタンを押下します。</t>
    <rPh sb="3" eb="5">
      <t>サギョウ</t>
    </rPh>
    <rPh sb="5" eb="7">
      <t>シジ</t>
    </rPh>
    <rPh sb="7" eb="8">
      <t>ショ</t>
    </rPh>
    <rPh sb="8" eb="10">
      <t>サクセイ</t>
    </rPh>
    <rPh sb="15" eb="17">
      <t>オウカ</t>
    </rPh>
    <phoneticPr fontId="10"/>
  </si>
  <si>
    <t>6.以下のメッセージが出力され、処理が完了します。</t>
    <rPh sb="2" eb="4">
      <t>イカ</t>
    </rPh>
    <rPh sb="11" eb="13">
      <t>シュツリョク</t>
    </rPh>
    <rPh sb="16" eb="18">
      <t>ショリ</t>
    </rPh>
    <rPh sb="19" eb="21">
      <t>カンリョウ</t>
    </rPh>
    <phoneticPr fontId="10"/>
  </si>
  <si>
    <t>処理が完了すると、「【受注データ csv】」フォルダ内に以下の２つのファイルが作成されます。　※「YYYYMMDD」は当日の日付</t>
    <rPh sb="0" eb="2">
      <t>ショリ</t>
    </rPh>
    <rPh sb="3" eb="5">
      <t>カンリョウ</t>
    </rPh>
    <rPh sb="11" eb="13">
      <t>ジュチュウ</t>
    </rPh>
    <rPh sb="26" eb="27">
      <t>ナイ</t>
    </rPh>
    <rPh sb="28" eb="30">
      <t>イカ</t>
    </rPh>
    <rPh sb="39" eb="41">
      <t>サクセイ</t>
    </rPh>
    <rPh sb="59" eb="61">
      <t>トウジツ</t>
    </rPh>
    <rPh sb="62" eb="64">
      <t>ヒヅケ</t>
    </rPh>
    <phoneticPr fontId="10"/>
  </si>
  <si>
    <t>固定</t>
  </si>
  <si>
    <t>00</t>
  </si>
  <si>
    <t>SH019</t>
  </si>
  <si>
    <t>WH032</t>
  </si>
  <si>
    <t>00000</t>
  </si>
  <si>
    <t>01</t>
  </si>
  <si>
    <t>夏季休業</t>
    <rPh sb="0" eb="2">
      <t>カキ</t>
    </rPh>
    <rPh sb="2" eb="4">
      <t>キュウギョウ</t>
    </rPh>
    <phoneticPr fontId="10"/>
  </si>
  <si>
    <t>SOMPOケア㈱　地域包括ケア推進部　営業支援グループ</t>
  </si>
  <si>
    <t>品川区東品川 4-12-8</t>
  </si>
  <si>
    <t>品川シーサイドイーストタワー12階</t>
  </si>
  <si>
    <t>ＳＯＭＰＯケア株式会社　北関東・北陸事業部 地域支援課</t>
  </si>
  <si>
    <t>品川区東品川四丁目12番8号</t>
  </si>
  <si>
    <t>ＳＯＭＰＯケア株式会社　総務部総務課</t>
  </si>
  <si>
    <t>品川シーサイドイーストタワー３階</t>
  </si>
  <si>
    <t>ＳＯＭＰＯケア株式会社　人財採用部　採用推進課</t>
  </si>
  <si>
    <t>ＳＯＭＰＯケア株式会社　地域包括ケア推進部　営業支援グループ</t>
  </si>
  <si>
    <t>№</t>
  </si>
  <si>
    <t>梱包発送</t>
    <rPh sb="0" eb="2">
      <t>コンポウ</t>
    </rPh>
    <rPh sb="2" eb="4">
      <t>ハッソウ</t>
    </rPh>
    <phoneticPr fontId="22"/>
  </si>
  <si>
    <t>備考</t>
    <rPh sb="0" eb="2">
      <t>ビコウ</t>
    </rPh>
    <phoneticPr fontId="22"/>
  </si>
  <si>
    <t>出力締めデータのヘッダー</t>
    <rPh sb="0" eb="2">
      <t>シュツリョク</t>
    </rPh>
    <rPh sb="2" eb="3">
      <t>シ</t>
    </rPh>
    <phoneticPr fontId="10"/>
  </si>
  <si>
    <t>受注書との対応付け</t>
    <rPh sb="0" eb="3">
      <t>ジュチュウショ</t>
    </rPh>
    <rPh sb="5" eb="7">
      <t>タイオウ</t>
    </rPh>
    <rPh sb="7" eb="8">
      <t>ヅ</t>
    </rPh>
    <phoneticPr fontId="10"/>
  </si>
  <si>
    <t>発注番号</t>
    <phoneticPr fontId="10"/>
  </si>
  <si>
    <t>注文日</t>
    <rPh sb="0" eb="1">
      <t>チュウ</t>
    </rPh>
    <rPh sb="1" eb="2">
      <t>モン</t>
    </rPh>
    <rPh sb="2" eb="3">
      <t>ビ</t>
    </rPh>
    <phoneticPr fontId="10"/>
  </si>
  <si>
    <t>発注者</t>
    <rPh sb="0" eb="3">
      <t>ハッチュウシャ</t>
    </rPh>
    <phoneticPr fontId="10"/>
  </si>
  <si>
    <t>配送先名</t>
    <rPh sb="0" eb="2">
      <t>ハイソウ</t>
    </rPh>
    <rPh sb="2" eb="3">
      <t>サキ</t>
    </rPh>
    <rPh sb="3" eb="4">
      <t>メイ</t>
    </rPh>
    <phoneticPr fontId="10"/>
  </si>
  <si>
    <t>商品名</t>
    <rPh sb="0" eb="3">
      <t>ショウヒンメイ</t>
    </rPh>
    <phoneticPr fontId="10"/>
  </si>
  <si>
    <t>注文数量</t>
    <rPh sb="0" eb="1">
      <t>チュウ</t>
    </rPh>
    <rPh sb="1" eb="2">
      <t>モン</t>
    </rPh>
    <rPh sb="2" eb="4">
      <t>スウリョウ</t>
    </rPh>
    <phoneticPr fontId="10"/>
  </si>
  <si>
    <t>パターン１</t>
    <phoneticPr fontId="10"/>
  </si>
  <si>
    <t>パターン２</t>
    <phoneticPr fontId="10"/>
  </si>
  <si>
    <t>パターン３</t>
    <phoneticPr fontId="10"/>
  </si>
  <si>
    <t>送料</t>
    <rPh sb="0" eb="2">
      <t>ソウリョウ</t>
    </rPh>
    <phoneticPr fontId="10"/>
  </si>
  <si>
    <t>ＳＯＭＰＯケア株式会社　人財採用部　新卒採用課</t>
    <phoneticPr fontId="10"/>
  </si>
  <si>
    <t>定款</t>
    <rPh sb="0" eb="2">
      <t>テイカン</t>
    </rPh>
    <phoneticPr fontId="10"/>
  </si>
  <si>
    <t>A000059</t>
    <phoneticPr fontId="10"/>
  </si>
  <si>
    <t>納期</t>
    <phoneticPr fontId="10"/>
  </si>
  <si>
    <t>作業指示書番号</t>
    <phoneticPr fontId="10"/>
  </si>
  <si>
    <t>出庫予定日</t>
    <phoneticPr fontId="10"/>
  </si>
  <si>
    <t>受注金額</t>
    <phoneticPr fontId="10"/>
  </si>
  <si>
    <t>倉庫コード</t>
    <phoneticPr fontId="10"/>
  </si>
  <si>
    <t>受注ページ数</t>
    <phoneticPr fontId="10"/>
  </si>
  <si>
    <t>←"YYYYMMDD"もしくは"YYMMDD"の部分は当日の日付に置き換えられます</t>
    <rPh sb="24" eb="26">
      <t>ブブン</t>
    </rPh>
    <rPh sb="27" eb="29">
      <t>トウジツ</t>
    </rPh>
    <rPh sb="30" eb="32">
      <t>ヒヅケ</t>
    </rPh>
    <rPh sb="33" eb="34">
      <t>オ</t>
    </rPh>
    <rPh sb="35" eb="36">
      <t>カ</t>
    </rPh>
    <phoneticPr fontId="10"/>
  </si>
  <si>
    <t>発注者</t>
    <phoneticPr fontId="10"/>
  </si>
  <si>
    <t>配送先名</t>
    <phoneticPr fontId="10"/>
  </si>
  <si>
    <t>配送先郵便番号</t>
    <phoneticPr fontId="10"/>
  </si>
  <si>
    <t>配送先住所1</t>
    <phoneticPr fontId="10"/>
  </si>
  <si>
    <t>配送先住所2</t>
    <phoneticPr fontId="10"/>
  </si>
  <si>
    <t>配送先住所3</t>
    <phoneticPr fontId="10"/>
  </si>
  <si>
    <t>配送先電話番号</t>
    <phoneticPr fontId="10"/>
  </si>
  <si>
    <t>配送先担当者名</t>
    <phoneticPr fontId="10"/>
  </si>
  <si>
    <t>商品コード</t>
    <phoneticPr fontId="10"/>
  </si>
  <si>
    <t>商品名</t>
    <phoneticPr fontId="10"/>
  </si>
  <si>
    <t>注文数量</t>
    <phoneticPr fontId="10"/>
  </si>
  <si>
    <t>取引区分</t>
    <phoneticPr fontId="10"/>
  </si>
  <si>
    <t>受注日</t>
    <phoneticPr fontId="10"/>
  </si>
  <si>
    <t>出庫手配日</t>
    <phoneticPr fontId="10"/>
  </si>
  <si>
    <t>依頼先コード</t>
    <phoneticPr fontId="10"/>
  </si>
  <si>
    <t>依頼先名</t>
    <phoneticPr fontId="10"/>
  </si>
  <si>
    <t>商品管理区分</t>
    <phoneticPr fontId="10"/>
  </si>
  <si>
    <t>地区コード</t>
    <phoneticPr fontId="10"/>
  </si>
  <si>
    <t>客先注文Ｎｏ</t>
    <phoneticPr fontId="10"/>
  </si>
  <si>
    <t>Ｒ勘定科目コード</t>
    <phoneticPr fontId="10"/>
  </si>
  <si>
    <t>Ｒ任意細目</t>
    <phoneticPr fontId="10"/>
  </si>
  <si>
    <t>注文一覧YYYYMMDD</t>
    <phoneticPr fontId="10"/>
  </si>
  <si>
    <t>SOMPO受注YYYYMMDD マルテックス様</t>
  </si>
  <si>
    <t>【RLC】入庫取込データYYYYMMDD</t>
  </si>
  <si>
    <t>【RLC】出荷データYYYYMMDD</t>
  </si>
  <si>
    <t>D000001</t>
    <phoneticPr fontId="10"/>
  </si>
  <si>
    <t>D000002</t>
    <phoneticPr fontId="10"/>
  </si>
  <si>
    <t>SOMPO受注YYMMDD新藤様_D商品</t>
    <rPh sb="18" eb="20">
      <t>ショウヒン</t>
    </rPh>
    <phoneticPr fontId="10"/>
  </si>
  <si>
    <t>株式会社新藤慶昌堂</t>
    <phoneticPr fontId="10"/>
  </si>
  <si>
    <t>120</t>
  </si>
  <si>
    <t>SOMPOケア ラヴィ―レ川崎(パンフレット)</t>
  </si>
  <si>
    <t>パンフ・入居案内：有</t>
    <rPh sb="9" eb="10">
      <t>アリ</t>
    </rPh>
    <phoneticPr fontId="13"/>
  </si>
  <si>
    <t>カラー一般</t>
    <rPh sb="3" eb="5">
      <t>イッパン</t>
    </rPh>
    <phoneticPr fontId="13"/>
  </si>
  <si>
    <t>無</t>
    <rPh sb="0" eb="1">
      <t>ナ</t>
    </rPh>
    <phoneticPr fontId="13"/>
  </si>
  <si>
    <t>無</t>
    <rPh sb="0" eb="1">
      <t>ム</t>
    </rPh>
    <phoneticPr fontId="13"/>
  </si>
  <si>
    <t>新藤</t>
    <rPh sb="0" eb="2">
      <t>シンドウ</t>
    </rPh>
    <phoneticPr fontId="13"/>
  </si>
  <si>
    <t>有（上下2mm・縦2mm）</t>
    <rPh sb="0" eb="1">
      <t>アリ</t>
    </rPh>
    <rPh sb="2" eb="4">
      <t>ウエシタ</t>
    </rPh>
    <rPh sb="8" eb="9">
      <t>タテ</t>
    </rPh>
    <phoneticPr fontId="13"/>
  </si>
  <si>
    <t>SOMPOケア ハッピーデイズ藤沢大庭</t>
    <rPh sb="15" eb="19">
      <t>フジサワオオニワ</t>
    </rPh>
    <phoneticPr fontId="10"/>
  </si>
  <si>
    <t>119</t>
  </si>
  <si>
    <t>121</t>
  </si>
  <si>
    <t>122</t>
  </si>
  <si>
    <t>SOMPOケア ラヴィ―レ戸田(パンフレット)</t>
    <phoneticPr fontId="10"/>
  </si>
  <si>
    <t>200632-P1910A</t>
  </si>
  <si>
    <t>123</t>
    <phoneticPr fontId="10"/>
  </si>
  <si>
    <t>SOMPOケア ラヴィ―レ駒沢公園(パンフレット)</t>
    <rPh sb="13" eb="15">
      <t>コマザワ</t>
    </rPh>
    <rPh sb="15" eb="17">
      <t>コウエン</t>
    </rPh>
    <phoneticPr fontId="10"/>
  </si>
  <si>
    <t>A000068</t>
    <phoneticPr fontId="10"/>
  </si>
  <si>
    <t>200619-P2004A</t>
  </si>
  <si>
    <t>200874-P1807A</t>
  </si>
  <si>
    <t>200875-P1807A</t>
  </si>
  <si>
    <t>SOMPOケア ラヴィ―レ熱田(入居案内)</t>
    <phoneticPr fontId="10"/>
  </si>
  <si>
    <t>SOMPOケア ラヴィ―レ八王子片倉(パンフレット)</t>
    <phoneticPr fontId="10"/>
  </si>
  <si>
    <t>SOMPOケア ラヴィ―レ座間谷戸山公園(パンフレット)</t>
    <phoneticPr fontId="10"/>
  </si>
  <si>
    <t>124</t>
    <phoneticPr fontId="10"/>
  </si>
  <si>
    <t>SOMPOケア ラヴィ―レ池田(パンフレット)</t>
    <rPh sb="10" eb="12">
      <t>コマザワ</t>
    </rPh>
    <rPh sb="13" eb="15">
      <t>イケダ</t>
    </rPh>
    <phoneticPr fontId="10"/>
  </si>
  <si>
    <t>SOMPOケア ラヴィ―レ池田(入居案内)</t>
    <rPh sb="10" eb="12">
      <t>コマザワ</t>
    </rPh>
    <rPh sb="13" eb="15">
      <t>イケダ</t>
    </rPh>
    <rPh sb="16" eb="20">
      <t>ニュウキョアンナイ</t>
    </rPh>
    <phoneticPr fontId="10"/>
  </si>
  <si>
    <t>SOMPOケア ラヴィ―レ横浜緑園都市(パンフレット)</t>
    <rPh sb="13" eb="15">
      <t>ヨコハマ</t>
    </rPh>
    <phoneticPr fontId="10"/>
  </si>
  <si>
    <t>SOMPOケア ラヴィ―レ横浜弥生台(パンフレット)</t>
    <rPh sb="13" eb="15">
      <t>ヨコハマ</t>
    </rPh>
    <phoneticPr fontId="10"/>
  </si>
  <si>
    <t>SOMPOケア ラヴィ―レ横浜緑園都市(入居案内)</t>
    <rPh sb="13" eb="15">
      <t>ヨコハマ</t>
    </rPh>
    <phoneticPr fontId="10"/>
  </si>
  <si>
    <t>SOMPOケア ラヴィ―レ横浜弥生台(入居案内)</t>
    <rPh sb="13" eb="15">
      <t>ヨコハマ</t>
    </rPh>
    <phoneticPr fontId="10"/>
  </si>
  <si>
    <t>125</t>
  </si>
  <si>
    <t>しらおい上質　180kg</t>
  </si>
  <si>
    <t>カラー</t>
  </si>
  <si>
    <t>しらおい上質　110kg</t>
  </si>
  <si>
    <t>2</t>
  </si>
  <si>
    <t>ペラ</t>
  </si>
  <si>
    <t>126</t>
  </si>
  <si>
    <t>127</t>
  </si>
  <si>
    <t>128</t>
  </si>
  <si>
    <t>129</t>
  </si>
  <si>
    <t>131</t>
  </si>
  <si>
    <t>132</t>
  </si>
  <si>
    <t>133</t>
  </si>
  <si>
    <t>134</t>
  </si>
  <si>
    <t>135</t>
  </si>
  <si>
    <t>136</t>
  </si>
  <si>
    <t>137</t>
  </si>
  <si>
    <t>138</t>
  </si>
  <si>
    <t>201433-P2107A</t>
  </si>
  <si>
    <t>139</t>
  </si>
  <si>
    <t>140</t>
  </si>
  <si>
    <t>141</t>
  </si>
  <si>
    <t>142</t>
  </si>
  <si>
    <t>143</t>
  </si>
  <si>
    <t>144</t>
  </si>
  <si>
    <t>145</t>
  </si>
  <si>
    <t>146</t>
  </si>
  <si>
    <t>SOMPOケア ラヴィ―レ小田原弐番館(パンフレット)</t>
    <phoneticPr fontId="10"/>
  </si>
  <si>
    <t>SOMPOケア ラヴィ―レ北鎌倉(パンフレット)</t>
    <phoneticPr fontId="10"/>
  </si>
  <si>
    <t>しらおい上質　180kg</t>
    <phoneticPr fontId="10"/>
  </si>
  <si>
    <t>200632-N2103A</t>
    <phoneticPr fontId="10"/>
  </si>
  <si>
    <t>201411-P2110A</t>
    <phoneticPr fontId="10"/>
  </si>
  <si>
    <t>SOMPOケア ラヴィ―レ葉山(入居案内)</t>
    <phoneticPr fontId="10"/>
  </si>
  <si>
    <t>201426-P2111A</t>
    <phoneticPr fontId="10"/>
  </si>
  <si>
    <t>201431-N2111A</t>
    <phoneticPr fontId="10"/>
  </si>
  <si>
    <t>201437-N2111A</t>
  </si>
  <si>
    <t>200873-P2112A</t>
    <phoneticPr fontId="10"/>
  </si>
  <si>
    <t>SLS_グレイプスウィズ_四谷ご入居のご案内</t>
  </si>
  <si>
    <t>SOMPOケア ラヴィ―レ越谷(パンフレット)</t>
    <phoneticPr fontId="10"/>
  </si>
  <si>
    <t>日付</t>
    <rPh sb="0" eb="2">
      <t>ヒヅケ</t>
    </rPh>
    <phoneticPr fontId="10"/>
  </si>
  <si>
    <t>改訂履歴</t>
    <rPh sb="0" eb="4">
      <t>カイテイリレキ</t>
    </rPh>
    <phoneticPr fontId="10"/>
  </si>
  <si>
    <t>バージョン</t>
    <phoneticPr fontId="10"/>
  </si>
  <si>
    <t>sharepoint保存でも動作するように修正（ジャスティックさま）</t>
    <rPh sb="10" eb="12">
      <t>ホゾン</t>
    </rPh>
    <rPh sb="14" eb="16">
      <t>ドウサ</t>
    </rPh>
    <rPh sb="21" eb="23">
      <t>シュウセイ</t>
    </rPh>
    <phoneticPr fontId="10"/>
  </si>
  <si>
    <t>2.0</t>
    <phoneticPr fontId="10"/>
  </si>
  <si>
    <t>SOMPOケア ラヴィ―レ川崎(入居案内)</t>
    <rPh sb="13" eb="15">
      <t>カワサキ</t>
    </rPh>
    <phoneticPr fontId="3"/>
  </si>
  <si>
    <t>SOMPOケア ラヴィ―レ駒沢公園(入居案内)</t>
    <rPh sb="13" eb="15">
      <t>コマザワ</t>
    </rPh>
    <rPh sb="15" eb="17">
      <t>コウエン</t>
    </rPh>
    <phoneticPr fontId="3"/>
  </si>
  <si>
    <t>SLS_グレイプスガーデン_西新井大師(入居案内)</t>
    <rPh sb="14" eb="15">
      <t>ニシ</t>
    </rPh>
    <rPh sb="15" eb="17">
      <t>アライ</t>
    </rPh>
    <rPh sb="17" eb="19">
      <t>ダイシ</t>
    </rPh>
    <rPh sb="20" eb="24">
      <t>ニュウキョアンナイ</t>
    </rPh>
    <phoneticPr fontId="3"/>
  </si>
  <si>
    <t>SLS_コーシャハイム_平尾（パンフレット）</t>
    <rPh sb="12" eb="14">
      <t>ヒラオ</t>
    </rPh>
    <phoneticPr fontId="3"/>
  </si>
  <si>
    <t>SLS_コーシャハイム_平尾(入居案内）</t>
    <rPh sb="12" eb="14">
      <t>ヒラオ</t>
    </rPh>
    <phoneticPr fontId="3"/>
  </si>
  <si>
    <t>SLS_コーシャハイム_千歳烏山（パンフレット）</t>
    <rPh sb="12" eb="14">
      <t>チトセ</t>
    </rPh>
    <rPh sb="14" eb="16">
      <t>カラスヤマ</t>
    </rPh>
    <phoneticPr fontId="3"/>
  </si>
  <si>
    <t>SLS_コーシャハイム_千歳烏山(入居案内）</t>
    <rPh sb="12" eb="14">
      <t>チトセ</t>
    </rPh>
    <rPh sb="14" eb="16">
      <t>カラスヤマ</t>
    </rPh>
    <phoneticPr fontId="3"/>
  </si>
  <si>
    <t>SLS_グレイプスウィズ_大森西(入居案内）</t>
    <rPh sb="13" eb="16">
      <t>オオモリニシ</t>
    </rPh>
    <phoneticPr fontId="3"/>
  </si>
  <si>
    <t>無</t>
    <rPh sb="0" eb="1">
      <t>ナ</t>
    </rPh>
    <phoneticPr fontId="3"/>
  </si>
  <si>
    <t>カラー一般</t>
    <rPh sb="3" eb="5">
      <t>イッパン</t>
    </rPh>
    <phoneticPr fontId="3"/>
  </si>
  <si>
    <t>有（上下2mm・縦2mm）</t>
    <rPh sb="0" eb="1">
      <t>アリ</t>
    </rPh>
    <rPh sb="2" eb="4">
      <t>ウエシタ</t>
    </rPh>
    <rPh sb="8" eb="9">
      <t>タテ</t>
    </rPh>
    <phoneticPr fontId="3"/>
  </si>
  <si>
    <t>SLS_サンスーシ_大和田(入居案内)</t>
    <rPh sb="10" eb="13">
      <t>オオワダ</t>
    </rPh>
    <phoneticPr fontId="3"/>
  </si>
  <si>
    <t>SLS_そっと見守りシリーズ</t>
    <rPh sb="7" eb="9">
      <t>ミマモ</t>
    </rPh>
    <phoneticPr fontId="3"/>
  </si>
  <si>
    <t>SLS_グレイプスシリーズ一覧</t>
    <rPh sb="13" eb="15">
      <t>イチラン</t>
    </rPh>
    <phoneticPr fontId="3"/>
  </si>
  <si>
    <t>147</t>
    <phoneticPr fontId="10"/>
  </si>
  <si>
    <t>パンフ・インタビューチラシ：有</t>
    <rPh sb="14" eb="15">
      <t>アリ</t>
    </rPh>
    <phoneticPr fontId="10"/>
  </si>
  <si>
    <t>２</t>
    <phoneticPr fontId="10"/>
  </si>
  <si>
    <t>148</t>
    <phoneticPr fontId="10"/>
  </si>
  <si>
    <t>SOMPOケア ラヴィ―レ豊中(パンフレット)</t>
    <rPh sb="13" eb="15">
      <t>トヨナカ</t>
    </rPh>
    <phoneticPr fontId="10"/>
  </si>
  <si>
    <t>SOMPOケア ラヴィ―レ豊中(入居案内)</t>
    <rPh sb="13" eb="15">
      <t>トヨナカ</t>
    </rPh>
    <rPh sb="16" eb="18">
      <t>ニュウキョ</t>
    </rPh>
    <rPh sb="18" eb="20">
      <t>アンナイ</t>
    </rPh>
    <phoneticPr fontId="10"/>
  </si>
  <si>
    <t>149</t>
    <phoneticPr fontId="10"/>
  </si>
  <si>
    <t>ラヴィーレレジデンス横浜本郷台（パンフ）</t>
    <phoneticPr fontId="10"/>
  </si>
  <si>
    <t>ヴァンヌーボV-FS スノーホワイト　175kg</t>
    <phoneticPr fontId="37"/>
  </si>
  <si>
    <t>ＳＯＭＰＯケア ラヴィーレレジデンス立石</t>
    <phoneticPr fontId="2"/>
  </si>
  <si>
    <t>ＳＯＭＰＯケア ラヴィーレレジデンス用賀</t>
    <phoneticPr fontId="2"/>
  </si>
  <si>
    <t>ＳＯＭＰＯケア ラヴィーレレジデンス世田谷千歳台</t>
    <phoneticPr fontId="2"/>
  </si>
  <si>
    <t>資料室専用</t>
    <rPh sb="0" eb="3">
      <t>シリョウシツ</t>
    </rPh>
    <rPh sb="3" eb="5">
      <t>センヨウ</t>
    </rPh>
    <phoneticPr fontId="10"/>
  </si>
  <si>
    <t>ＳＯＭＰＯケア ラヴィーレグラン四谷</t>
    <phoneticPr fontId="37"/>
  </si>
  <si>
    <t>無</t>
    <rPh sb="0" eb="1">
      <t>ナ</t>
    </rPh>
    <phoneticPr fontId="2"/>
  </si>
  <si>
    <t>カラー一般</t>
    <rPh sb="3" eb="5">
      <t>イッパン</t>
    </rPh>
    <phoneticPr fontId="2"/>
  </si>
  <si>
    <t>有（上下2mm・縦2mm）</t>
    <rPh sb="0" eb="1">
      <t>アリ</t>
    </rPh>
    <rPh sb="2" eb="4">
      <t>ウエシタ</t>
    </rPh>
    <rPh sb="8" eb="9">
      <t>タテ</t>
    </rPh>
    <phoneticPr fontId="2"/>
  </si>
  <si>
    <t>ＳＯＭＰＯケア ラヴィーレ北浦和</t>
    <phoneticPr fontId="2"/>
  </si>
  <si>
    <t>ＳＯＭＰＯケア ラヴィーレ北浦和</t>
    <phoneticPr fontId="37"/>
  </si>
  <si>
    <t>カラー</t>
    <phoneticPr fontId="37"/>
  </si>
  <si>
    <t>ペラ</t>
    <phoneticPr fontId="37"/>
  </si>
  <si>
    <t>201435-P2204A</t>
    <phoneticPr fontId="10"/>
  </si>
  <si>
    <t>SOMPOケア ラヴィ―レ名古屋(パンフレット)</t>
    <phoneticPr fontId="10"/>
  </si>
  <si>
    <t>SOMPOケア ラヴィ―レ名古屋(入居案内)</t>
    <phoneticPr fontId="10"/>
  </si>
  <si>
    <t>ラヴィーレレジデンス横浜本郷台(入居案内）</t>
    <rPh sb="16" eb="20">
      <t>ニュウキョアンナイ</t>
    </rPh>
    <phoneticPr fontId="37"/>
  </si>
  <si>
    <t>150</t>
    <phoneticPr fontId="10"/>
  </si>
  <si>
    <t>訪問看護千歳台サテライトパンフレット</t>
  </si>
  <si>
    <t>201441-P2204A</t>
    <phoneticPr fontId="10"/>
  </si>
  <si>
    <t>201424-P2205A</t>
    <phoneticPr fontId="10"/>
  </si>
  <si>
    <t>201425-P2205A</t>
    <phoneticPr fontId="10"/>
  </si>
  <si>
    <t>しらおい上質　110kg</t>
    <phoneticPr fontId="10"/>
  </si>
  <si>
    <t>SOMPOケア ラヴィ―レ成城南(パンフレット)</t>
    <phoneticPr fontId="10"/>
  </si>
  <si>
    <t>SOMPOケア ラヴィ―レ成城南(入居案内)</t>
    <phoneticPr fontId="10"/>
  </si>
  <si>
    <t>SOMPOケア ラヴィ―レ光が丘公園(パンフレット)</t>
    <phoneticPr fontId="10"/>
  </si>
  <si>
    <t>ＳＯＭＰＯケア ラヴィーレレジデンス湘南辻堂(パンフレット)</t>
    <phoneticPr fontId="10"/>
  </si>
  <si>
    <t>ＳＯＭＰＯケア ラヴィーレレジデンス湘南辻堂(入居案内)</t>
    <phoneticPr fontId="3"/>
  </si>
  <si>
    <t>ＳＯＭＰＯケア ラヴィーレレジデンス戸塚(入居案内)</t>
    <phoneticPr fontId="10"/>
  </si>
  <si>
    <t>ＳＯＭＰＯケア ラヴィーレレジデンス戸塚（パンフレット）</t>
    <phoneticPr fontId="10"/>
  </si>
  <si>
    <t>ヴァンヌーボV-FS スノーホワイト　175kg</t>
  </si>
  <si>
    <t>ヴァンヌーボV-FS スノーホワイト　175kg</t>
    <phoneticPr fontId="10"/>
  </si>
  <si>
    <t>130</t>
    <phoneticPr fontId="10"/>
  </si>
  <si>
    <t>201419-N2301A</t>
    <phoneticPr fontId="10"/>
  </si>
  <si>
    <t>201425-N2301B</t>
    <phoneticPr fontId="10"/>
  </si>
  <si>
    <t>パンフ・入居案内：有　★用紙はグレイプス時のまま★</t>
    <rPh sb="9" eb="10">
      <t>アリ</t>
    </rPh>
    <rPh sb="12" eb="14">
      <t>ヨウシ</t>
    </rPh>
    <rPh sb="20" eb="21">
      <t>ジ</t>
    </rPh>
    <phoneticPr fontId="13"/>
  </si>
  <si>
    <t>ＳＯＭＰＯケア そんぽの家S_ふじみ野(パンフレット)</t>
    <rPh sb="18" eb="19">
      <t>ノ</t>
    </rPh>
    <phoneticPr fontId="3"/>
  </si>
  <si>
    <t>ＳＯＭＰＯケア そんぽの家S_ふじみ野(入居案内)</t>
    <rPh sb="18" eb="19">
      <t>ノ</t>
    </rPh>
    <phoneticPr fontId="3"/>
  </si>
  <si>
    <t>201431-P2107A</t>
    <phoneticPr fontId="10"/>
  </si>
  <si>
    <t>ＳＯＭＰＯケア ラヴィーレレジデンス川崎新町(パンフレット)</t>
    <rPh sb="18" eb="20">
      <t>カワサキ</t>
    </rPh>
    <rPh sb="20" eb="22">
      <t>シンマチ</t>
    </rPh>
    <phoneticPr fontId="3"/>
  </si>
  <si>
    <t>ＳＯＭＰＯケア ラヴィーレレジデンス川崎新町(入居案内)</t>
    <rPh sb="18" eb="20">
      <t>カワサキ</t>
    </rPh>
    <rPh sb="20" eb="22">
      <t>シンマチ</t>
    </rPh>
    <phoneticPr fontId="3"/>
  </si>
  <si>
    <t>カタログコード</t>
    <phoneticPr fontId="10"/>
  </si>
  <si>
    <t>201438-P2304A</t>
    <phoneticPr fontId="10"/>
  </si>
  <si>
    <t>151</t>
  </si>
  <si>
    <t>152</t>
  </si>
  <si>
    <t>ＳＯＭＰＯケア ラヴィーレグラン夙川（パンフレット）</t>
    <rPh sb="16" eb="18">
      <t>シュクガワ</t>
    </rPh>
    <phoneticPr fontId="10"/>
  </si>
  <si>
    <t>ＳＯＭＰＯケア ラヴィーレグラン夙川(入居案内）</t>
    <phoneticPr fontId="10"/>
  </si>
  <si>
    <t>ラヴィーレレジデンス札幌桑園駅前（パンフレット）</t>
    <phoneticPr fontId="10"/>
  </si>
  <si>
    <t>4</t>
    <phoneticPr fontId="10"/>
  </si>
  <si>
    <t>ラヴィーレレジデンス札幌桑園駅前(入居案内）</t>
    <phoneticPr fontId="10"/>
  </si>
  <si>
    <t>153</t>
  </si>
  <si>
    <t>ＳＯＭＰＯケア ラヴィーレ平和公園</t>
    <phoneticPr fontId="10"/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</si>
  <si>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</si>
  <si>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</si>
  <si>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</si>
  <si>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</si>
  <si>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</si>
  <si>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</si>
  <si>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</si>
  <si>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</si>
  <si>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</si>
  <si>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</si>
  <si>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</si>
  <si>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</si>
  <si>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</si>
  <si>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</si>
  <si>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</si>
  <si>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</si>
  <si>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</si>
  <si>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</si>
  <si>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</si>
  <si>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</si>
  <si>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</si>
  <si>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</si>
  <si>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</si>
  <si>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</si>
  <si>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</si>
  <si>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</si>
  <si>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</si>
  <si>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</si>
  <si>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</si>
  <si>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</si>
  <si>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</si>
  <si>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</si>
  <si>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</si>
  <si>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</si>
  <si>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</si>
  <si>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</si>
  <si>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</si>
  <si>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</si>
  <si>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</si>
  <si>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ネクサスコート 旭ヶ丘_入居のご案内</t>
    <rPh sb="8" eb="11">
      <t>アサヒガオカ</t>
    </rPh>
    <phoneticPr fontId="10"/>
  </si>
  <si>
    <t>ネクサスコート 愛宕_入居のご案内</t>
    <rPh sb="8" eb="10">
      <t>アタゴ</t>
    </rPh>
    <phoneticPr fontId="10"/>
  </si>
  <si>
    <t>ネクサスコート 青葉台_入居のご案内</t>
    <rPh sb="8" eb="11">
      <t>アオバダイ</t>
    </rPh>
    <phoneticPr fontId="10"/>
  </si>
  <si>
    <t>ネクサスコート 泉中央_入居のご案内</t>
    <rPh sb="8" eb="11">
      <t>イズミチュウオウ</t>
    </rPh>
    <phoneticPr fontId="10"/>
  </si>
  <si>
    <t>ネクサスコート 久地_入居のご案内</t>
    <rPh sb="8" eb="10">
      <t>クジ</t>
    </rPh>
    <phoneticPr fontId="10"/>
  </si>
  <si>
    <t>ネクサスコート 白石南郷_入居のご案内</t>
    <rPh sb="8" eb="10">
      <t>シライシ</t>
    </rPh>
    <rPh sb="10" eb="12">
      <t>ナンゴウ</t>
    </rPh>
    <phoneticPr fontId="10"/>
  </si>
  <si>
    <t>ネクサスコート 湘南鷹取_入居のご案内</t>
    <rPh sb="8" eb="12">
      <t>ショウナンタカトリ</t>
    </rPh>
    <phoneticPr fontId="10"/>
  </si>
  <si>
    <t>ネクサスコート 仙台東_入居のご案内</t>
    <rPh sb="8" eb="10">
      <t>センダイ</t>
    </rPh>
    <rPh sb="10" eb="11">
      <t>ヒガシ</t>
    </rPh>
    <phoneticPr fontId="10"/>
  </si>
  <si>
    <t>ネクサスコート 多摩川桜並木_入居のご案内</t>
    <rPh sb="8" eb="11">
      <t>タマガワ</t>
    </rPh>
    <rPh sb="11" eb="12">
      <t>サクラ</t>
    </rPh>
    <rPh sb="12" eb="14">
      <t>ナミキ</t>
    </rPh>
    <phoneticPr fontId="10"/>
  </si>
  <si>
    <t>ネクサスコート 豊平_入居のご案内</t>
    <rPh sb="8" eb="10">
      <t>トヨヒラ</t>
    </rPh>
    <phoneticPr fontId="10"/>
  </si>
  <si>
    <t>ネクサスコート 練馬_入居のご案内</t>
    <rPh sb="8" eb="10">
      <t>ネリマ</t>
    </rPh>
    <phoneticPr fontId="10"/>
  </si>
  <si>
    <t>ネクサスコート 橋本_入居のご案内</t>
    <rPh sb="8" eb="10">
      <t>ハシモト</t>
    </rPh>
    <phoneticPr fontId="10"/>
  </si>
  <si>
    <t>ネクサスコート 北大前_入居のご案内</t>
    <rPh sb="8" eb="10">
      <t>ホクダイ</t>
    </rPh>
    <rPh sb="10" eb="11">
      <t>マエ</t>
    </rPh>
    <phoneticPr fontId="10"/>
  </si>
  <si>
    <t>ネクサスコート 本郷台_入居のご案内</t>
    <rPh sb="8" eb="11">
      <t>ホンゴウダイ</t>
    </rPh>
    <phoneticPr fontId="10"/>
  </si>
  <si>
    <t>ネクサスコート 本郷_入居のご案内</t>
    <rPh sb="8" eb="10">
      <t>ホンゴウ</t>
    </rPh>
    <phoneticPr fontId="10"/>
  </si>
  <si>
    <t>ネクサスコート 真駒内_入居のご案内</t>
    <rPh sb="8" eb="11">
      <t>マコマナイ</t>
    </rPh>
    <phoneticPr fontId="10"/>
  </si>
  <si>
    <t>ユーライト　110ｋｇ</t>
  </si>
  <si>
    <t>ユーライト　110ｋｇ</t>
    <phoneticPr fontId="10"/>
  </si>
  <si>
    <t>12</t>
    <phoneticPr fontId="10"/>
  </si>
  <si>
    <t>中綴じ</t>
  </si>
  <si>
    <t>ユトリログロスマット 135kg</t>
    <phoneticPr fontId="10"/>
  </si>
  <si>
    <t>ユトリログロスマット 110kg</t>
    <phoneticPr fontId="10"/>
  </si>
  <si>
    <t>中綴じ(短辺とじ）</t>
  </si>
  <si>
    <t>8</t>
    <phoneticPr fontId="10"/>
  </si>
  <si>
    <t>16</t>
    <phoneticPr fontId="10"/>
  </si>
  <si>
    <t>4</t>
    <phoneticPr fontId="10"/>
  </si>
  <si>
    <t>201461-N2309A</t>
    <phoneticPr fontId="10"/>
  </si>
  <si>
    <t>201462-N2309A</t>
    <phoneticPr fontId="10"/>
  </si>
  <si>
    <t>201463-N2309A</t>
    <phoneticPr fontId="10"/>
  </si>
  <si>
    <t>201464-N2309A</t>
    <phoneticPr fontId="10"/>
  </si>
  <si>
    <t>201465-N2309A</t>
    <phoneticPr fontId="10"/>
  </si>
  <si>
    <t>201466-N2309A</t>
    <phoneticPr fontId="10"/>
  </si>
  <si>
    <t>201467-N2309A</t>
    <phoneticPr fontId="10"/>
  </si>
  <si>
    <t>201468-N2309A</t>
    <phoneticPr fontId="10"/>
  </si>
  <si>
    <t>201469-N2309A</t>
    <phoneticPr fontId="10"/>
  </si>
  <si>
    <t>201470-N2309A</t>
    <phoneticPr fontId="10"/>
  </si>
  <si>
    <t>201471-N2309A</t>
    <phoneticPr fontId="10"/>
  </si>
  <si>
    <t>201472-N2309A</t>
    <phoneticPr fontId="10"/>
  </si>
  <si>
    <t>201473-N2309A</t>
    <phoneticPr fontId="10"/>
  </si>
  <si>
    <t>201474-N2309A</t>
    <phoneticPr fontId="10"/>
  </si>
  <si>
    <t>201475-N2309A</t>
    <phoneticPr fontId="10"/>
  </si>
  <si>
    <t>201476-N2309A</t>
    <phoneticPr fontId="10"/>
  </si>
  <si>
    <t>SOMPOケア ラヴィ―レふじみ野(パンフレット)</t>
    <phoneticPr fontId="10"/>
  </si>
  <si>
    <t>SOMPOケア ラヴィ―レ東池袋（パンフレット）</t>
    <rPh sb="13" eb="14">
      <t>ヒガシ</t>
    </rPh>
    <rPh sb="14" eb="16">
      <t>イケブクロ</t>
    </rPh>
    <phoneticPr fontId="3"/>
  </si>
  <si>
    <t>SOMPOケア ラヴィ―レふじみ野(入居案内)</t>
    <phoneticPr fontId="10"/>
  </si>
  <si>
    <t>SOMPOケア ラヴィ―レ東池袋(入居案内）</t>
    <rPh sb="13" eb="14">
      <t>ヒガシ</t>
    </rPh>
    <rPh sb="14" eb="16">
      <t>イケブクロ</t>
    </rPh>
    <rPh sb="17" eb="21">
      <t>ニュウキョアンナイ</t>
    </rPh>
    <phoneticPr fontId="3"/>
  </si>
  <si>
    <t>商品コード範囲</t>
    <rPh sb="0" eb="2">
      <t>ショウヒン</t>
    </rPh>
    <rPh sb="5" eb="7">
      <t>ハンイ</t>
    </rPh>
    <phoneticPr fontId="10"/>
  </si>
  <si>
    <t>背景色</t>
    <rPh sb="0" eb="3">
      <t>ハイケイショク</t>
    </rPh>
    <phoneticPr fontId="10"/>
  </si>
  <si>
    <t>最小</t>
    <rPh sb="0" eb="2">
      <t>サイショウ</t>
    </rPh>
    <phoneticPr fontId="10"/>
  </si>
  <si>
    <t>最大</t>
    <rPh sb="0" eb="2">
      <t>サイダイ</t>
    </rPh>
    <phoneticPr fontId="10"/>
  </si>
  <si>
    <t>下記以外</t>
    <rPh sb="0" eb="4">
      <t>カキイガイ</t>
    </rPh>
    <phoneticPr fontId="10"/>
  </si>
  <si>
    <t>現在～発送日
までの営業日数</t>
    <rPh sb="0" eb="2">
      <t>ゲンザイ</t>
    </rPh>
    <rPh sb="3" eb="6">
      <t>ハッソウビ</t>
    </rPh>
    <rPh sb="10" eb="12">
      <t>エイギョウ</t>
    </rPh>
    <rPh sb="12" eb="14">
      <t>ニチスウ</t>
    </rPh>
    <phoneticPr fontId="10"/>
  </si>
  <si>
    <t>143-0006</t>
  </si>
  <si>
    <t>株式会社新藤慶昌堂セキュリティルーム</t>
    <phoneticPr fontId="10"/>
  </si>
  <si>
    <t>大田区平和島5-1-3-5F</t>
    <phoneticPr fontId="10"/>
  </si>
  <si>
    <t>株式会社マルテックス内</t>
    <phoneticPr fontId="10"/>
  </si>
  <si>
    <t>しらおい上質　110kg</t>
    <phoneticPr fontId="10"/>
  </si>
  <si>
    <t>ユーライト　135ｋｇ</t>
    <phoneticPr fontId="10"/>
  </si>
  <si>
    <t>しらおいＹ （Ａ3） 44.5</t>
    <phoneticPr fontId="10"/>
  </si>
  <si>
    <t>A000082</t>
    <phoneticPr fontId="10"/>
  </si>
  <si>
    <t>8</t>
    <phoneticPr fontId="10"/>
  </si>
  <si>
    <t>SOMPOケア　人事部　総務課</t>
  </si>
  <si>
    <t>SOMPOケア そんぽの家Ｓ湘南台(パンフレット)</t>
    <phoneticPr fontId="10"/>
  </si>
  <si>
    <t>パンフのみ(入居案内なし)</t>
    <rPh sb="6" eb="8">
      <t>ニュウキョ</t>
    </rPh>
    <rPh sb="8" eb="10">
      <t>アンナイ</t>
    </rPh>
    <phoneticPr fontId="10"/>
  </si>
  <si>
    <t>ユトリログロスマット 110kg</t>
  </si>
  <si>
    <t>201458-P2401A</t>
    <phoneticPr fontId="10"/>
  </si>
  <si>
    <t>201477-H2401A</t>
    <phoneticPr fontId="10"/>
  </si>
  <si>
    <t>ラヴィーレレジデンス 旭ヶ丘</t>
    <rPh sb="11" eb="14">
      <t>アサヒガオカ</t>
    </rPh>
    <phoneticPr fontId="10"/>
  </si>
  <si>
    <t>ラヴィーレレジデンス 愛宕</t>
    <rPh sb="11" eb="13">
      <t>アタゴ</t>
    </rPh>
    <phoneticPr fontId="10"/>
  </si>
  <si>
    <t>ラヴィーレレジデンス 愛宕_ホスピス</t>
    <rPh sb="11" eb="13">
      <t>アタゴ</t>
    </rPh>
    <phoneticPr fontId="10"/>
  </si>
  <si>
    <t>ラヴィーレレジデンス 青葉台</t>
    <rPh sb="11" eb="14">
      <t>アオバダイ</t>
    </rPh>
    <phoneticPr fontId="10"/>
  </si>
  <si>
    <t>ラヴィーレレジデンス 泉中央</t>
    <rPh sb="11" eb="14">
      <t>イズミチュウオウ</t>
    </rPh>
    <phoneticPr fontId="10"/>
  </si>
  <si>
    <t>ラヴィーレ 久地</t>
    <rPh sb="6" eb="8">
      <t>クジ</t>
    </rPh>
    <phoneticPr fontId="10"/>
  </si>
  <si>
    <t>ラヴィーレ 白石南郷</t>
    <rPh sb="6" eb="8">
      <t>シライシ</t>
    </rPh>
    <rPh sb="8" eb="10">
      <t>ナンゴウ</t>
    </rPh>
    <phoneticPr fontId="10"/>
  </si>
  <si>
    <t>ラヴィーレ 湘南鷹取</t>
    <rPh sb="6" eb="10">
      <t>ショウナンタカトリ</t>
    </rPh>
    <phoneticPr fontId="10"/>
  </si>
  <si>
    <t>ラヴィーレ 湘南鷹取_ホスピス</t>
    <rPh sb="6" eb="10">
      <t>ショウナンタカトリ</t>
    </rPh>
    <phoneticPr fontId="10"/>
  </si>
  <si>
    <t>ラヴィーレ 仙台東</t>
    <rPh sb="6" eb="8">
      <t>センダイ</t>
    </rPh>
    <rPh sb="8" eb="9">
      <t>ヒガシ</t>
    </rPh>
    <phoneticPr fontId="10"/>
  </si>
  <si>
    <t>ラヴィーレ 仙台東_ホスピス</t>
    <rPh sb="6" eb="8">
      <t>センダイ</t>
    </rPh>
    <rPh sb="8" eb="9">
      <t>ヒガシ</t>
    </rPh>
    <phoneticPr fontId="10"/>
  </si>
  <si>
    <t>ラヴィーレ 多摩川桜並木</t>
    <rPh sb="6" eb="9">
      <t>タマガワ</t>
    </rPh>
    <rPh sb="9" eb="10">
      <t>サクラ</t>
    </rPh>
    <rPh sb="10" eb="12">
      <t>ナミキ</t>
    </rPh>
    <phoneticPr fontId="10"/>
  </si>
  <si>
    <t>ラヴィーレ 多摩川桜並木_ホスピス</t>
    <rPh sb="6" eb="9">
      <t>タマガワ</t>
    </rPh>
    <rPh sb="9" eb="10">
      <t>サクラ</t>
    </rPh>
    <rPh sb="10" eb="12">
      <t>ナミキ</t>
    </rPh>
    <phoneticPr fontId="10"/>
  </si>
  <si>
    <t>ラヴィーレレジデンス 豊平</t>
    <rPh sb="11" eb="13">
      <t>トヨヒラ</t>
    </rPh>
    <phoneticPr fontId="10"/>
  </si>
  <si>
    <t>ＳＯＭＰＯケア そんぽの家 練馬</t>
    <rPh sb="14" eb="16">
      <t>ネリマ</t>
    </rPh>
    <phoneticPr fontId="10"/>
  </si>
  <si>
    <t>ＳＯＭＰＯケア そんぽの家 練馬_ホスピス</t>
    <rPh sb="14" eb="16">
      <t>ネリマ</t>
    </rPh>
    <phoneticPr fontId="10"/>
  </si>
  <si>
    <t>ラヴィーレレジデンス 橋本</t>
    <rPh sb="11" eb="13">
      <t>ハシモト</t>
    </rPh>
    <phoneticPr fontId="10"/>
  </si>
  <si>
    <t>ラヴィーレレジデンス 橋本_ホスピス</t>
    <rPh sb="11" eb="13">
      <t>ハシモト</t>
    </rPh>
    <phoneticPr fontId="10"/>
  </si>
  <si>
    <t>ラヴィーレレジデンス 北大前</t>
    <rPh sb="11" eb="13">
      <t>ホクダイ</t>
    </rPh>
    <rPh sb="13" eb="14">
      <t>マエ</t>
    </rPh>
    <phoneticPr fontId="10"/>
  </si>
  <si>
    <t>ＳＯＭＰＯケア そんぽの家 本郷台_ホスピス</t>
    <rPh sb="14" eb="17">
      <t>ホンゴウダイ</t>
    </rPh>
    <phoneticPr fontId="10"/>
  </si>
  <si>
    <t>ラヴィーレ 真駒内_パンフレット</t>
    <rPh sb="6" eb="9">
      <t>マコマナイ</t>
    </rPh>
    <phoneticPr fontId="10"/>
  </si>
  <si>
    <t>スポーツの日</t>
    <phoneticPr fontId="10"/>
  </si>
  <si>
    <t>-</t>
  </si>
  <si>
    <t>-</t>
    <phoneticPr fontId="10"/>
  </si>
  <si>
    <t>品川シーサイドイーストタワー</t>
    <phoneticPr fontId="10"/>
  </si>
  <si>
    <t>株式会社マルテックス</t>
  </si>
  <si>
    <t>セキュリティルーム</t>
  </si>
  <si>
    <t>ＳＯＭＰＯケア そんぽの家S_戸塚(入居案内)</t>
    <rPh sb="15" eb="17">
      <t>トツカ</t>
    </rPh>
    <phoneticPr fontId="3"/>
  </si>
  <si>
    <t>ＳＯＭＰＯケア ラヴィーレレジデンス_辻堂西海岸(入居案内)</t>
    <rPh sb="19" eb="21">
      <t>ツジドウ</t>
    </rPh>
    <rPh sb="21" eb="24">
      <t>ニシカイガン</t>
    </rPh>
    <phoneticPr fontId="3"/>
  </si>
  <si>
    <t>ＳＯＭＰＯケア ラヴィーレレジデンス_辻堂西海岸(パンフレット)</t>
    <rPh sb="19" eb="21">
      <t>ツジドウ</t>
    </rPh>
    <rPh sb="21" eb="24">
      <t>ニシカイガン</t>
    </rPh>
    <phoneticPr fontId="3"/>
  </si>
  <si>
    <t>しらおい上質　180kg</t>
    <phoneticPr fontId="10"/>
  </si>
  <si>
    <t>しらおい上質　110kg</t>
    <phoneticPr fontId="10"/>
  </si>
  <si>
    <t>ＳＯＭＰＯケア そんぽの家S_戸塚</t>
    <rPh sb="15" eb="17">
      <t>トツカ</t>
    </rPh>
    <phoneticPr fontId="3"/>
  </si>
  <si>
    <t>193</t>
  </si>
  <si>
    <t>194</t>
  </si>
  <si>
    <t>ラヴィーレレジデンス福岡別府</t>
    <rPh sb="10" eb="12">
      <t>フクオカ</t>
    </rPh>
    <rPh sb="12" eb="14">
      <t>ベップ</t>
    </rPh>
    <phoneticPr fontId="3"/>
  </si>
  <si>
    <t>ラヴィーレレジデンス徳川園_入居のご案内</t>
    <phoneticPr fontId="10"/>
  </si>
  <si>
    <t>ペルーラ スノーホワイト　135kg</t>
    <phoneticPr fontId="37"/>
  </si>
  <si>
    <t>ラヴィーレレジデンス福岡別府_入居のご案内</t>
    <rPh sb="10" eb="12">
      <t>フクオカ</t>
    </rPh>
    <rPh sb="12" eb="14">
      <t>ベップ</t>
    </rPh>
    <phoneticPr fontId="3"/>
  </si>
  <si>
    <t>201419-P2209A</t>
    <phoneticPr fontId="10"/>
  </si>
  <si>
    <t>201426-N2111A</t>
    <phoneticPr fontId="10"/>
  </si>
  <si>
    <t>ラヴィーレレジデンス徳川園</t>
    <phoneticPr fontId="10"/>
  </si>
  <si>
    <r>
      <rPr>
        <sz val="8"/>
        <rFont val="メイリオ"/>
        <family val="3"/>
        <charset val="128"/>
      </rPr>
      <t>ＳＯＭＰＯケア そんぽの家大森西</t>
    </r>
    <r>
      <rPr>
        <sz val="8"/>
        <color rgb="FFFF0000"/>
        <rFont val="メイリオ"/>
        <family val="3"/>
        <charset val="128"/>
      </rPr>
      <t>※印刷はセキュリティルーム対応</t>
    </r>
    <phoneticPr fontId="2"/>
  </si>
  <si>
    <r>
      <t>そんぽの家S_西新井大師(パンフレット)※23.10～ブランド変更あり／</t>
    </r>
    <r>
      <rPr>
        <sz val="8"/>
        <color rgb="FFFF0000"/>
        <rFont val="メイリオ"/>
        <family val="3"/>
        <charset val="128"/>
      </rPr>
      <t>印刷はセキュリティルーム対応</t>
    </r>
    <rPh sb="7" eb="8">
      <t>ニシ</t>
    </rPh>
    <rPh sb="8" eb="10">
      <t>アライ</t>
    </rPh>
    <rPh sb="10" eb="12">
      <t>ダイシ</t>
    </rPh>
    <rPh sb="31" eb="33">
      <t>ヘンコウ</t>
    </rPh>
    <rPh sb="36" eb="38">
      <t>インサツ</t>
    </rPh>
    <rPh sb="48" eb="50">
      <t>タイオウ</t>
    </rPh>
    <phoneticPr fontId="3"/>
  </si>
  <si>
    <r>
      <rPr>
        <sz val="9"/>
        <color rgb="FFFF0000"/>
        <rFont val="メイリオ"/>
        <family val="3"/>
        <charset val="128"/>
      </rPr>
      <t xml:space="preserve">ＳＯＭＰＯケア </t>
    </r>
    <r>
      <rPr>
        <sz val="8"/>
        <color rgb="FFFF0000"/>
        <rFont val="メイリオ"/>
        <family val="3"/>
        <charset val="128"/>
      </rPr>
      <t>そんぽの家大和田※印刷はセキュリティルーム対応</t>
    </r>
    <phoneticPr fontId="2"/>
  </si>
  <si>
    <t>201424-N2405A</t>
    <phoneticPr fontId="10"/>
  </si>
  <si>
    <t>ラヴィーレレジデンス 旭ヶ丘_入居のご案内</t>
    <rPh sb="11" eb="14">
      <t>アサヒガオカ</t>
    </rPh>
    <phoneticPr fontId="10"/>
  </si>
  <si>
    <t>ラヴィーレレジデンス 愛宕_入居のご案内</t>
    <rPh sb="11" eb="13">
      <t>アタゴ</t>
    </rPh>
    <phoneticPr fontId="10"/>
  </si>
  <si>
    <t>ラヴィーレレジデンス 青葉台_入居のご案内</t>
    <rPh sb="11" eb="14">
      <t>アオバダイ</t>
    </rPh>
    <phoneticPr fontId="10"/>
  </si>
  <si>
    <t>ラヴィーレレジデンス 泉中央_入居のご案内</t>
    <rPh sb="11" eb="14">
      <t>イズミチュウオウ</t>
    </rPh>
    <phoneticPr fontId="10"/>
  </si>
  <si>
    <t>ラヴィーレ 久地_入居のご案内</t>
    <rPh sb="6" eb="8">
      <t>クジ</t>
    </rPh>
    <phoneticPr fontId="10"/>
  </si>
  <si>
    <t>ラヴィーレ 白石南郷_入居のご案内</t>
    <rPh sb="6" eb="8">
      <t>シライシ</t>
    </rPh>
    <rPh sb="8" eb="10">
      <t>ナンゴウ</t>
    </rPh>
    <phoneticPr fontId="10"/>
  </si>
  <si>
    <t>ラヴィーレ 湘南鷹取_入居のご案内</t>
    <rPh sb="6" eb="10">
      <t>ショウナンタカトリ</t>
    </rPh>
    <phoneticPr fontId="10"/>
  </si>
  <si>
    <t>ラヴィーレ 仙台東_入居のご案内</t>
    <rPh sb="6" eb="8">
      <t>センダイ</t>
    </rPh>
    <rPh sb="8" eb="9">
      <t>ヒガシ</t>
    </rPh>
    <phoneticPr fontId="10"/>
  </si>
  <si>
    <t>ラヴィーレ 多摩川桜並木_入居のご案内</t>
    <rPh sb="6" eb="9">
      <t>タマガワ</t>
    </rPh>
    <rPh sb="9" eb="10">
      <t>サクラ</t>
    </rPh>
    <rPh sb="10" eb="12">
      <t>ナミキ</t>
    </rPh>
    <phoneticPr fontId="10"/>
  </si>
  <si>
    <t>ラヴィーレレジデンス 豊平_入居のご案内</t>
    <rPh sb="11" eb="13">
      <t>トヨヒラ</t>
    </rPh>
    <phoneticPr fontId="10"/>
  </si>
  <si>
    <t>ＳＯＭＰＯケア そんぽの家 練馬_入居のご案内</t>
    <rPh sb="14" eb="16">
      <t>ネリマ</t>
    </rPh>
    <phoneticPr fontId="10"/>
  </si>
  <si>
    <t>ラヴィーレレジデンス 橋本_入居のご案内</t>
    <rPh sb="11" eb="13">
      <t>ハシモト</t>
    </rPh>
    <phoneticPr fontId="10"/>
  </si>
  <si>
    <t>ラヴィーレレジデンス 北大前_入居のご案内</t>
    <rPh sb="11" eb="13">
      <t>ホクダイ</t>
    </rPh>
    <rPh sb="13" eb="14">
      <t>マエ</t>
    </rPh>
    <phoneticPr fontId="10"/>
  </si>
  <si>
    <t>ＳＯＭＰＯケア そんぽの家 本郷台_入居のご案内</t>
    <rPh sb="14" eb="17">
      <t>ホンゴウダイ</t>
    </rPh>
    <phoneticPr fontId="10"/>
  </si>
  <si>
    <t>ラヴィーレ 本郷_入居のご案内</t>
    <rPh sb="6" eb="8">
      <t>ホンゴウ</t>
    </rPh>
    <phoneticPr fontId="10"/>
  </si>
  <si>
    <t>ラヴィーレ 真駒内_入居のご案内</t>
    <rPh sb="6" eb="9">
      <t>マコマナイ</t>
    </rPh>
    <phoneticPr fontId="10"/>
  </si>
  <si>
    <t>品川区東品川四丁目12-8</t>
  </si>
  <si>
    <t>品川シーサイドイーストタワー</t>
  </si>
  <si>
    <t>首都圏オフィス　神奈川静岡担当</t>
  </si>
  <si>
    <t>SOMPOケア株式会社</t>
  </si>
  <si>
    <t>品川シーサイドイーストタワー11F</t>
  </si>
  <si>
    <t>ＳＯＭＰＯケア株式会社　人材開発部　新卒採用育成課</t>
  </si>
  <si>
    <t>SOMPOケア　地域包括ケア推進部　営業推進課　請求担当</t>
  </si>
  <si>
    <t>東京都品川区東品川四丁目12番8号</t>
  </si>
  <si>
    <t>品川シーサイドイーストタワー 12F</t>
  </si>
  <si>
    <t>株式会社マルテックス</t>
    <phoneticPr fontId="10"/>
  </si>
  <si>
    <t>201478-H2407A</t>
  </si>
  <si>
    <t>201482-H2407A</t>
  </si>
  <si>
    <t>No</t>
    <phoneticPr fontId="10"/>
  </si>
  <si>
    <t>SOMPOケア（株）　ソリューション事業部</t>
  </si>
  <si>
    <t>品川区 東品川 4-12-8</t>
  </si>
  <si>
    <t>A000083</t>
    <phoneticPr fontId="10"/>
  </si>
  <si>
    <t>195</t>
  </si>
  <si>
    <t>ラヴィーレ泉パークタウン朝日</t>
    <phoneticPr fontId="10"/>
  </si>
  <si>
    <t>SOMPOケア ラヴィ―レ元住吉(パンフレット)</t>
    <phoneticPr fontId="10"/>
  </si>
  <si>
    <t>200619-N2409A</t>
  </si>
  <si>
    <t>C001013</t>
    <phoneticPr fontId="10"/>
  </si>
  <si>
    <t>C001015</t>
    <phoneticPr fontId="10"/>
  </si>
  <si>
    <t>ラヴィーレレジデンス浅草（パンフレット）</t>
    <phoneticPr fontId="3"/>
  </si>
  <si>
    <t>ラヴィーレレジデンス浅草(入居案内）</t>
    <phoneticPr fontId="3"/>
  </si>
  <si>
    <t>年末年始休業</t>
    <rPh sb="0" eb="4">
      <t>ネンマツネンシ</t>
    </rPh>
    <rPh sb="4" eb="6">
      <t>キュウギョウ</t>
    </rPh>
    <phoneticPr fontId="10"/>
  </si>
  <si>
    <t>振替休日</t>
    <phoneticPr fontId="10"/>
  </si>
  <si>
    <t>201479-H2411A</t>
    <phoneticPr fontId="10"/>
  </si>
  <si>
    <t>A000091</t>
    <phoneticPr fontId="10"/>
  </si>
  <si>
    <t>201481-H2412B</t>
    <phoneticPr fontId="10"/>
  </si>
  <si>
    <t>201483-H2412B</t>
    <phoneticPr fontId="10"/>
  </si>
  <si>
    <t>SOMPOケア ラヴィ―レ流山おおたかの森(パンフレット)</t>
    <phoneticPr fontId="10"/>
  </si>
  <si>
    <t>A000092</t>
  </si>
  <si>
    <t>201458-N2501B</t>
    <phoneticPr fontId="10"/>
  </si>
  <si>
    <t>A000093</t>
  </si>
  <si>
    <t>A000094</t>
    <phoneticPr fontId="10"/>
  </si>
  <si>
    <t>201480-H2502A</t>
    <phoneticPr fontId="10"/>
  </si>
  <si>
    <t>ＳＯＭＰＯケア そんぽの家S_大宮（パンフレット）</t>
    <rPh sb="12" eb="13">
      <t>イエ</t>
    </rPh>
    <rPh sb="15" eb="17">
      <t>オオミヤ</t>
    </rPh>
    <phoneticPr fontId="3"/>
  </si>
  <si>
    <t>ＳＯＭＰＯケア そんぽの家S_大宮(入居案内)</t>
    <rPh sb="12" eb="13">
      <t>イエ</t>
    </rPh>
    <rPh sb="15" eb="17">
      <t>オオミヤ</t>
    </rPh>
    <phoneticPr fontId="3"/>
  </si>
  <si>
    <t>196</t>
  </si>
  <si>
    <t>ラヴィ―レ横浜洋光台（パンフレット）</t>
    <phoneticPr fontId="10"/>
  </si>
  <si>
    <t>ラヴィ―レ横浜洋光台（入居のご案内）</t>
    <rPh sb="11" eb="13">
      <t>ニュウキョ</t>
    </rPh>
    <rPh sb="15" eb="17">
      <t>アンナイ</t>
    </rPh>
    <phoneticPr fontId="10"/>
  </si>
  <si>
    <t>A000089</t>
    <phoneticPr fontId="10"/>
  </si>
  <si>
    <t>A000090</t>
  </si>
  <si>
    <t>新宿区西新宿1-26-1 16階</t>
    <phoneticPr fontId="10"/>
  </si>
  <si>
    <t>160-8338</t>
    <phoneticPr fontId="10"/>
  </si>
  <si>
    <t>経営企画部産官学連携課</t>
    <phoneticPr fontId="10"/>
  </si>
  <si>
    <t>　</t>
    <phoneticPr fontId="10"/>
  </si>
  <si>
    <t>SOMPOケア ラヴィ―レ羽村(パンフレット)</t>
    <phoneticPr fontId="10"/>
  </si>
  <si>
    <t>200621-N2507A</t>
  </si>
  <si>
    <t>200622-N2507A</t>
  </si>
  <si>
    <t>200628-N2507A</t>
  </si>
  <si>
    <t>200629-N2507A</t>
  </si>
  <si>
    <t>200623-N2507A</t>
  </si>
  <si>
    <t>200617-N2507A</t>
  </si>
  <si>
    <t>200618-N2507A</t>
  </si>
  <si>
    <t>200630-N2507A</t>
  </si>
  <si>
    <t>200624-N2507A</t>
  </si>
  <si>
    <t>200631-N2507A</t>
  </si>
  <si>
    <t>200651-N2507A</t>
  </si>
  <si>
    <t>200795-N2507A</t>
  </si>
  <si>
    <t>200796-N2507A</t>
  </si>
  <si>
    <t>200798-N2507A</t>
  </si>
  <si>
    <t>200863-N2507A</t>
  </si>
  <si>
    <t>200860-N2507A</t>
  </si>
  <si>
    <t>200864-N2507A</t>
  </si>
  <si>
    <t>200861-N2507A</t>
  </si>
  <si>
    <t>200870-N2507A</t>
  </si>
  <si>
    <t>200867-N2507A</t>
  </si>
  <si>
    <t>200871-N2507A</t>
  </si>
  <si>
    <t>200880-N2507A</t>
  </si>
  <si>
    <t>200881-N2507A</t>
  </si>
  <si>
    <t>200882-N2507A</t>
  </si>
  <si>
    <t>200865-N2507A</t>
  </si>
  <si>
    <t>200883-N2507A</t>
  </si>
  <si>
    <t>200884-N2507A</t>
  </si>
  <si>
    <t>200937-N2507A</t>
  </si>
  <si>
    <t>200885-N2507A</t>
  </si>
  <si>
    <t>200968-N2507A</t>
  </si>
  <si>
    <t>200896-N2507A</t>
  </si>
  <si>
    <t>200897-N2507A</t>
  </si>
  <si>
    <t>200940-N2507A</t>
  </si>
  <si>
    <t>200983-N2507A</t>
  </si>
  <si>
    <t>200938-N2507A</t>
  </si>
  <si>
    <t>200984-N2507A</t>
  </si>
  <si>
    <t>200922-N2507A</t>
  </si>
  <si>
    <t>200986-N2507A</t>
  </si>
  <si>
    <t>200985-N2507A</t>
  </si>
  <si>
    <t>200987-N2507A</t>
  </si>
  <si>
    <t>200988-N2507A</t>
  </si>
  <si>
    <t>200990-N2507A</t>
  </si>
  <si>
    <t>201034-N2507A</t>
  </si>
  <si>
    <t>201042-N2507A</t>
  </si>
  <si>
    <t>200797-N2507A</t>
  </si>
  <si>
    <t>200995-N2507A</t>
  </si>
  <si>
    <t>200939-N2507A</t>
  </si>
  <si>
    <t>201049-N2507A</t>
  </si>
  <si>
    <t>201035-N2507A</t>
  </si>
  <si>
    <t>201033-N2507A</t>
  </si>
  <si>
    <t>201054-N2507A</t>
  </si>
  <si>
    <t>201050-N2507A</t>
  </si>
  <si>
    <t>201048-N2507A</t>
  </si>
  <si>
    <t>201072-N2507A</t>
  </si>
  <si>
    <t>201043-N2507A</t>
  </si>
  <si>
    <t>201052-N2507A</t>
  </si>
  <si>
    <t>200991-N2507A</t>
  </si>
  <si>
    <t>200989-N2507A</t>
  </si>
  <si>
    <t>201112-N2507A</t>
  </si>
  <si>
    <t>201111-N2507A</t>
  </si>
  <si>
    <t>201068-N2507A</t>
  </si>
  <si>
    <t>201125-N2507A</t>
  </si>
  <si>
    <t>201121-N2507A</t>
  </si>
  <si>
    <t>201119-N2507A</t>
  </si>
  <si>
    <t>201045-N2507A</t>
  </si>
  <si>
    <t>201131-N2507A</t>
  </si>
  <si>
    <t>201118-N2507A</t>
  </si>
  <si>
    <t>201091-N2507A</t>
  </si>
  <si>
    <t>201116-N2507A</t>
  </si>
  <si>
    <t>201137-N2507A</t>
  </si>
  <si>
    <t>201143-N2507A</t>
  </si>
  <si>
    <t>201133-N2507A</t>
  </si>
  <si>
    <t>201117-N2507A</t>
  </si>
  <si>
    <t>201123-N2507A</t>
  </si>
  <si>
    <t>201120-N2507A</t>
  </si>
  <si>
    <t>201124-N2507A</t>
  </si>
  <si>
    <t>201140-N2507A</t>
  </si>
  <si>
    <t>201083-N2507A</t>
  </si>
  <si>
    <t>201158-N2507A</t>
  </si>
  <si>
    <t>201141-N2507A</t>
  </si>
  <si>
    <t>201134-N2507A</t>
  </si>
  <si>
    <t>201115-N2507A</t>
  </si>
  <si>
    <t>201164-N2507A</t>
  </si>
  <si>
    <t>201159-N2507A</t>
  </si>
  <si>
    <t>201200-N2507A</t>
  </si>
  <si>
    <t>201198-N2507A</t>
  </si>
  <si>
    <t>201184-N2507A</t>
  </si>
  <si>
    <t>201199-N2507A</t>
  </si>
  <si>
    <t>201212-N2507A</t>
  </si>
  <si>
    <t>201214-N2507A</t>
  </si>
  <si>
    <t>201201-N2507A</t>
  </si>
  <si>
    <t>201213-N2507A</t>
  </si>
  <si>
    <t>201224-N2507A</t>
  </si>
  <si>
    <t>201142-N2507A</t>
  </si>
  <si>
    <t>201245-N2507A</t>
  </si>
  <si>
    <t>201246-N2507A</t>
  </si>
  <si>
    <t>201258-N2507A</t>
  </si>
  <si>
    <t>201408-N2507A</t>
  </si>
  <si>
    <t>201409-N2507A</t>
  </si>
  <si>
    <t>201279-N2507A</t>
  </si>
  <si>
    <t>201278-N2507A</t>
  </si>
  <si>
    <t>201287-N2507A</t>
  </si>
  <si>
    <t>201288-N2507A</t>
  </si>
  <si>
    <t>201300-N2507A</t>
  </si>
  <si>
    <t>201305-N2507A</t>
  </si>
  <si>
    <t>201306-N2507A</t>
  </si>
  <si>
    <t>201316-N2507A</t>
  </si>
  <si>
    <t>201318-N2507A</t>
  </si>
  <si>
    <t>201331-N2507A</t>
  </si>
  <si>
    <t>201332-N2507A</t>
  </si>
  <si>
    <t>201410-N2507A</t>
  </si>
  <si>
    <t>201413-N2507A</t>
  </si>
  <si>
    <t>201414-N2507A</t>
  </si>
  <si>
    <t>201415-N2507A</t>
  </si>
  <si>
    <t>201417-N2507A</t>
  </si>
  <si>
    <t>201420-N2507A</t>
  </si>
  <si>
    <t>201421-N2507A</t>
  </si>
  <si>
    <t>201422-N2507A</t>
  </si>
  <si>
    <t>201423-N2507A</t>
  </si>
  <si>
    <t>201427-N2507A</t>
  </si>
  <si>
    <t>201428-N2507A</t>
  </si>
  <si>
    <t>201429-N2507A</t>
  </si>
  <si>
    <t>201439-N2507A</t>
  </si>
  <si>
    <t>201440-N2507A</t>
  </si>
  <si>
    <t>201444-N2507A</t>
  </si>
  <si>
    <t>201132-N2507A</t>
    <phoneticPr fontId="10"/>
  </si>
  <si>
    <t>201445-N2508A</t>
    <phoneticPr fontId="10"/>
  </si>
  <si>
    <t>201446-N2508A</t>
    <phoneticPr fontId="10"/>
  </si>
  <si>
    <t>201447-N2508A</t>
    <phoneticPr fontId="10"/>
  </si>
  <si>
    <t>201448-N2508A</t>
    <phoneticPr fontId="10"/>
  </si>
  <si>
    <t>201454-N2508A</t>
    <phoneticPr fontId="10"/>
  </si>
  <si>
    <t>201456-N2508A</t>
    <phoneticPr fontId="10"/>
  </si>
  <si>
    <t>201457-N2508A</t>
    <phoneticPr fontId="10"/>
  </si>
  <si>
    <t>201051-N2508A</t>
    <phoneticPr fontId="10"/>
  </si>
  <si>
    <t>SOMPOケア ラヴィ―レ草加松原(パンフレット)</t>
    <phoneticPr fontId="10"/>
  </si>
  <si>
    <t>SOMPOケア ラヴィ―レ草加松原(入居案内)</t>
    <phoneticPr fontId="10"/>
  </si>
  <si>
    <t>201430-N2508A</t>
    <phoneticPr fontId="10"/>
  </si>
  <si>
    <t>201460-N2508B</t>
    <phoneticPr fontId="10"/>
  </si>
  <si>
    <t>201452-N2508B</t>
    <phoneticPr fontId="10"/>
  </si>
  <si>
    <t>201449-N2508B</t>
    <phoneticPr fontId="10"/>
  </si>
  <si>
    <t>201453-N2508B</t>
    <phoneticPr fontId="10"/>
  </si>
  <si>
    <t>201451-N2508B</t>
    <phoneticPr fontId="10"/>
  </si>
  <si>
    <t>201450-N2508B</t>
    <phoneticPr fontId="10"/>
  </si>
  <si>
    <t>201432-N2508A</t>
    <phoneticPr fontId="10"/>
  </si>
  <si>
    <t>201486-N2508B</t>
    <phoneticPr fontId="10"/>
  </si>
  <si>
    <t>201442-N2508A</t>
    <phoneticPr fontId="10"/>
  </si>
  <si>
    <t>197</t>
  </si>
  <si>
    <t>ラヴィーレレジデンス博多住吉</t>
    <phoneticPr fontId="10"/>
  </si>
  <si>
    <t>201487-N2507A</t>
    <phoneticPr fontId="10"/>
  </si>
  <si>
    <t>201488-N2508A</t>
    <phoneticPr fontId="10"/>
  </si>
  <si>
    <t>201488-P2509A</t>
    <phoneticPr fontId="10"/>
  </si>
  <si>
    <t>ラヴィーレレジデンス博多住吉_入居のご案内</t>
    <rPh sb="15" eb="17">
      <t>ニュウキョ</t>
    </rPh>
    <rPh sb="19" eb="21">
      <t>アンナイ</t>
    </rPh>
    <phoneticPr fontId="10"/>
  </si>
  <si>
    <t>大田区平和島5-1-3-5F</t>
    <phoneticPr fontId="10"/>
  </si>
  <si>
    <t>A000095</t>
  </si>
  <si>
    <t>A000049</t>
  </si>
  <si>
    <t>A000050</t>
  </si>
  <si>
    <t>A000051</t>
  </si>
  <si>
    <t>A000052</t>
  </si>
  <si>
    <t>A000054</t>
  </si>
  <si>
    <t>A000055</t>
  </si>
  <si>
    <t>A000056</t>
    <phoneticPr fontId="10"/>
  </si>
  <si>
    <t>A000058</t>
    <phoneticPr fontId="10"/>
  </si>
  <si>
    <t>201418-N2509A</t>
    <phoneticPr fontId="10"/>
  </si>
  <si>
    <t>201412-N2510A</t>
    <phoneticPr fontId="10"/>
  </si>
  <si>
    <t>SOMPOケア パッピーデイズ立石</t>
    <phoneticPr fontId="10"/>
  </si>
  <si>
    <t>198</t>
  </si>
  <si>
    <t>201489-P2511A</t>
    <phoneticPr fontId="10"/>
  </si>
  <si>
    <t>2</t>
    <phoneticPr fontId="10"/>
  </si>
  <si>
    <t>ヴァンヌーボV-FS スノーホワイト　175kg</t>
    <phoneticPr fontId="10"/>
  </si>
  <si>
    <t>しらおい上質　110kg</t>
    <phoneticPr fontId="10"/>
  </si>
  <si>
    <t>ユーライト　135ｋｇ</t>
    <phoneticPr fontId="10"/>
  </si>
  <si>
    <t>201027-N2512A</t>
    <phoneticPr fontId="10"/>
  </si>
  <si>
    <t>201416-N2512A</t>
    <phoneticPr fontId="10"/>
  </si>
  <si>
    <t>201459-N2512A</t>
    <phoneticPr fontId="10"/>
  </si>
  <si>
    <t>200627-P2512A</t>
    <phoneticPr fontId="10"/>
  </si>
  <si>
    <t>200627-N2512A</t>
    <phoneticPr fontId="10"/>
  </si>
  <si>
    <t>201429-P2512A</t>
    <phoneticPr fontId="10"/>
  </si>
  <si>
    <t>201442-P2512A</t>
    <phoneticPr fontId="10"/>
  </si>
  <si>
    <t>201484-N2512A</t>
    <phoneticPr fontId="10"/>
  </si>
  <si>
    <t>201485-N2512A</t>
    <phoneticPr fontId="10"/>
  </si>
  <si>
    <t>201443-N2512A</t>
    <phoneticPr fontId="10"/>
  </si>
  <si>
    <t>200621-P2512A</t>
    <phoneticPr fontId="10"/>
  </si>
  <si>
    <t>200622-P2512A</t>
    <phoneticPr fontId="10"/>
  </si>
  <si>
    <t>200628-P2512A</t>
    <phoneticPr fontId="10"/>
  </si>
  <si>
    <t>200629-P2512A</t>
    <phoneticPr fontId="10"/>
  </si>
  <si>
    <t>200623-P2512A</t>
    <phoneticPr fontId="10"/>
  </si>
  <si>
    <t>200617-P2512A</t>
    <phoneticPr fontId="10"/>
  </si>
  <si>
    <t>200618-P2512A</t>
    <phoneticPr fontId="10"/>
  </si>
  <si>
    <t>200630-P2512A</t>
    <phoneticPr fontId="10"/>
  </si>
  <si>
    <t>200624-P2512A</t>
    <phoneticPr fontId="10"/>
  </si>
  <si>
    <t>200631-P2512A</t>
    <phoneticPr fontId="10"/>
  </si>
  <si>
    <t>200651-P2512A</t>
    <phoneticPr fontId="10"/>
  </si>
  <si>
    <t>200795-P2512A</t>
    <phoneticPr fontId="10"/>
  </si>
  <si>
    <t>200796-P2512A</t>
    <phoneticPr fontId="10"/>
  </si>
  <si>
    <t>200798-P2512A</t>
    <phoneticPr fontId="10"/>
  </si>
  <si>
    <t>200863-P2512A</t>
    <phoneticPr fontId="10"/>
  </si>
  <si>
    <t>200860-P2512A</t>
    <phoneticPr fontId="10"/>
  </si>
  <si>
    <t>200864-P2512A</t>
    <phoneticPr fontId="10"/>
  </si>
  <si>
    <t>200861-P2512A</t>
    <phoneticPr fontId="10"/>
  </si>
  <si>
    <t>200870-P2512A</t>
    <phoneticPr fontId="10"/>
  </si>
  <si>
    <t>200867-P2512A</t>
    <phoneticPr fontId="10"/>
  </si>
  <si>
    <t>200871-P2512A</t>
    <phoneticPr fontId="10"/>
  </si>
  <si>
    <t>200880-P2512A</t>
    <phoneticPr fontId="10"/>
  </si>
  <si>
    <t>200881-P2512A</t>
    <phoneticPr fontId="10"/>
  </si>
  <si>
    <t>200882-P2512A</t>
    <phoneticPr fontId="10"/>
  </si>
  <si>
    <t>200865-P2512A</t>
    <phoneticPr fontId="10"/>
  </si>
  <si>
    <t>200883-P2512A</t>
    <phoneticPr fontId="10"/>
  </si>
  <si>
    <t>200884-P2512A</t>
    <phoneticPr fontId="10"/>
  </si>
  <si>
    <t>200937-P2512A</t>
    <phoneticPr fontId="10"/>
  </si>
  <si>
    <t>200885-P2512A</t>
    <phoneticPr fontId="10"/>
  </si>
  <si>
    <t>200968-P2512A</t>
    <phoneticPr fontId="10"/>
  </si>
  <si>
    <t>200896-P2512A</t>
    <phoneticPr fontId="10"/>
  </si>
  <si>
    <t>200897-P2512A</t>
    <phoneticPr fontId="10"/>
  </si>
  <si>
    <t>200940-P2512A</t>
    <phoneticPr fontId="10"/>
  </si>
  <si>
    <t>200983-P2512A</t>
    <phoneticPr fontId="10"/>
  </si>
  <si>
    <t>200938-P2512A</t>
    <phoneticPr fontId="10"/>
  </si>
  <si>
    <t>200984-P2512A</t>
    <phoneticPr fontId="10"/>
  </si>
  <si>
    <t>200922-P2512A</t>
    <phoneticPr fontId="10"/>
  </si>
  <si>
    <t>200986-P2512A</t>
    <phoneticPr fontId="10"/>
  </si>
  <si>
    <t>200985-P2512A</t>
    <phoneticPr fontId="10"/>
  </si>
  <si>
    <t>200987-P2512A</t>
    <phoneticPr fontId="10"/>
  </si>
  <si>
    <t>200988-P2512A</t>
    <phoneticPr fontId="10"/>
  </si>
  <si>
    <t>200990-P2512A</t>
    <phoneticPr fontId="10"/>
  </si>
  <si>
    <t>201034-P2512A</t>
    <phoneticPr fontId="10"/>
  </si>
  <si>
    <t>201042-P2512A</t>
    <phoneticPr fontId="10"/>
  </si>
  <si>
    <t>200797-P2512A</t>
    <phoneticPr fontId="10"/>
  </si>
  <si>
    <t>201051-P2512A</t>
    <phoneticPr fontId="10"/>
  </si>
  <si>
    <t>200995-P2512A</t>
    <phoneticPr fontId="10"/>
  </si>
  <si>
    <t>200939-P2512A</t>
    <phoneticPr fontId="10"/>
  </si>
  <si>
    <t>201027-P2512A</t>
    <phoneticPr fontId="10"/>
  </si>
  <si>
    <t>201049-P2512A</t>
    <phoneticPr fontId="10"/>
  </si>
  <si>
    <t>201035-P2512A</t>
    <phoneticPr fontId="10"/>
  </si>
  <si>
    <t>201033-P2512A</t>
    <phoneticPr fontId="10"/>
  </si>
  <si>
    <t>201054-P2512A</t>
    <phoneticPr fontId="10"/>
  </si>
  <si>
    <t>201050-P2512A</t>
    <phoneticPr fontId="10"/>
  </si>
  <si>
    <t>201048-P2512A</t>
    <phoneticPr fontId="10"/>
  </si>
  <si>
    <t>201072-P2512A</t>
    <phoneticPr fontId="10"/>
  </si>
  <si>
    <t>201043-P2512A</t>
    <phoneticPr fontId="10"/>
  </si>
  <si>
    <t>201052-P2512A</t>
    <phoneticPr fontId="10"/>
  </si>
  <si>
    <t>200991-P2512A</t>
    <phoneticPr fontId="10"/>
  </si>
  <si>
    <t>200989-P2512A</t>
    <phoneticPr fontId="10"/>
  </si>
  <si>
    <t>201112-P2512A</t>
    <phoneticPr fontId="10"/>
  </si>
  <si>
    <t>201111-P2512A</t>
    <phoneticPr fontId="10"/>
  </si>
  <si>
    <t>201068-P2512A</t>
    <phoneticPr fontId="10"/>
  </si>
  <si>
    <t>201125-P2512A</t>
    <phoneticPr fontId="10"/>
  </si>
  <si>
    <t>201121-P2512A</t>
    <phoneticPr fontId="10"/>
  </si>
  <si>
    <t>201119-P2512A</t>
    <phoneticPr fontId="10"/>
  </si>
  <si>
    <t>201131-P2512A</t>
    <phoneticPr fontId="10"/>
  </si>
  <si>
    <t>201118-P2512A</t>
    <phoneticPr fontId="10"/>
  </si>
  <si>
    <t>201091-P2512A</t>
    <phoneticPr fontId="10"/>
  </si>
  <si>
    <t>201132-P2512A</t>
    <phoneticPr fontId="10"/>
  </si>
  <si>
    <t>201116-P2512A</t>
    <phoneticPr fontId="10"/>
  </si>
  <si>
    <t>201137-P2512A</t>
    <phoneticPr fontId="10"/>
  </si>
  <si>
    <t>201143-P2512A</t>
    <phoneticPr fontId="10"/>
  </si>
  <si>
    <t>201133-P2512A</t>
    <phoneticPr fontId="10"/>
  </si>
  <si>
    <t>201117-P2512A</t>
    <phoneticPr fontId="10"/>
  </si>
  <si>
    <t>201123-P2512A</t>
    <phoneticPr fontId="10"/>
  </si>
  <si>
    <t>201120-P2512A</t>
    <phoneticPr fontId="10"/>
  </si>
  <si>
    <t>201124-P2512A</t>
    <phoneticPr fontId="10"/>
  </si>
  <si>
    <t>201140-P2512A</t>
    <phoneticPr fontId="10"/>
  </si>
  <si>
    <t>201083-P2512A</t>
    <phoneticPr fontId="10"/>
  </si>
  <si>
    <t>201158-P2512A</t>
    <phoneticPr fontId="10"/>
  </si>
  <si>
    <t>201141-P2512A</t>
    <phoneticPr fontId="10"/>
  </si>
  <si>
    <t>201134-P2512A</t>
    <phoneticPr fontId="10"/>
  </si>
  <si>
    <t>201115-P2512A</t>
    <phoneticPr fontId="10"/>
  </si>
  <si>
    <t>201164-P2512A</t>
    <phoneticPr fontId="10"/>
  </si>
  <si>
    <t>201159-P2512A</t>
    <phoneticPr fontId="10"/>
  </si>
  <si>
    <t>201200-P2512A</t>
    <phoneticPr fontId="10"/>
  </si>
  <si>
    <t>201198-P2512A</t>
    <phoneticPr fontId="10"/>
  </si>
  <si>
    <t>201184-P2512A</t>
    <phoneticPr fontId="10"/>
  </si>
  <si>
    <t>201199-P2512A</t>
    <phoneticPr fontId="10"/>
  </si>
  <si>
    <t>201212-P2512A</t>
    <phoneticPr fontId="10"/>
  </si>
  <si>
    <t>201214-P2512A</t>
    <phoneticPr fontId="10"/>
  </si>
  <si>
    <t>201201-P2512A</t>
    <phoneticPr fontId="10"/>
  </si>
  <si>
    <t>201213-P2512A</t>
    <phoneticPr fontId="10"/>
  </si>
  <si>
    <t>201224-P2512A</t>
    <phoneticPr fontId="10"/>
  </si>
  <si>
    <t>201142-P2512A</t>
    <phoneticPr fontId="10"/>
  </si>
  <si>
    <t>201245-P2512A</t>
    <phoneticPr fontId="10"/>
  </si>
  <si>
    <t>201246-P2512A</t>
    <phoneticPr fontId="10"/>
  </si>
  <si>
    <t>201258-P2512A</t>
    <phoneticPr fontId="10"/>
  </si>
  <si>
    <t>201408-P2512A</t>
    <phoneticPr fontId="10"/>
  </si>
  <si>
    <t>201409-P2512A</t>
    <phoneticPr fontId="10"/>
  </si>
  <si>
    <t>201279-P2512A</t>
    <phoneticPr fontId="10"/>
  </si>
  <si>
    <t>201278-P2512A</t>
    <phoneticPr fontId="10"/>
  </si>
  <si>
    <t>201287-P2512A</t>
    <phoneticPr fontId="10"/>
  </si>
  <si>
    <t>201288-P2512A</t>
    <phoneticPr fontId="10"/>
  </si>
  <si>
    <t>201300-P2512A</t>
    <phoneticPr fontId="10"/>
  </si>
  <si>
    <t>201297-P2512A</t>
    <phoneticPr fontId="10"/>
  </si>
  <si>
    <t>201305-P2512A</t>
    <phoneticPr fontId="10"/>
  </si>
  <si>
    <t>201306-P2512A</t>
    <phoneticPr fontId="10"/>
  </si>
  <si>
    <t>201316-P2512A</t>
    <phoneticPr fontId="10"/>
  </si>
  <si>
    <t>201318-P2512A</t>
    <phoneticPr fontId="10"/>
  </si>
  <si>
    <t>201331-P2512A</t>
    <phoneticPr fontId="10"/>
  </si>
  <si>
    <t>201332-P2512A</t>
    <phoneticPr fontId="10"/>
  </si>
  <si>
    <t>201410-P2512A</t>
    <phoneticPr fontId="10"/>
  </si>
  <si>
    <t>201412-P2512A</t>
    <phoneticPr fontId="10"/>
  </si>
  <si>
    <t>201413-P2512A</t>
    <phoneticPr fontId="10"/>
  </si>
  <si>
    <t>201414-P2512A</t>
    <phoneticPr fontId="10"/>
  </si>
  <si>
    <t>201415-P2512A</t>
    <phoneticPr fontId="10"/>
  </si>
  <si>
    <t>201416-P2512A</t>
    <phoneticPr fontId="10"/>
  </si>
  <si>
    <t>201417-P2512A</t>
    <phoneticPr fontId="10"/>
  </si>
  <si>
    <t>201418-P2512A</t>
    <phoneticPr fontId="10"/>
  </si>
  <si>
    <t>201420-P2512A</t>
    <phoneticPr fontId="10"/>
  </si>
  <si>
    <t>201421-P2512A</t>
    <phoneticPr fontId="10"/>
  </si>
  <si>
    <t>201422-P2512A</t>
    <phoneticPr fontId="10"/>
  </si>
  <si>
    <t>201423-P2512A</t>
    <phoneticPr fontId="10"/>
  </si>
  <si>
    <t>201427-P2512A</t>
    <phoneticPr fontId="10"/>
  </si>
  <si>
    <t>201428-P2512A</t>
    <phoneticPr fontId="10"/>
  </si>
  <si>
    <t>201430-P2512A</t>
    <phoneticPr fontId="10"/>
  </si>
  <si>
    <t>201432-P2512A</t>
    <phoneticPr fontId="10"/>
  </si>
  <si>
    <t>201439-P2512A</t>
    <phoneticPr fontId="10"/>
  </si>
  <si>
    <t>201440-P2512A</t>
    <phoneticPr fontId="10"/>
  </si>
  <si>
    <t>201445-P2512A</t>
    <phoneticPr fontId="10"/>
  </si>
  <si>
    <t>201446-P2512A</t>
    <phoneticPr fontId="10"/>
  </si>
  <si>
    <t>201447-P2512A</t>
    <phoneticPr fontId="10"/>
  </si>
  <si>
    <t>201448-P2512A</t>
    <phoneticPr fontId="10"/>
  </si>
  <si>
    <t>201449-P2512A</t>
    <phoneticPr fontId="10"/>
  </si>
  <si>
    <t>201450-P2512A</t>
    <phoneticPr fontId="10"/>
  </si>
  <si>
    <t>201451-P2512A</t>
    <phoneticPr fontId="10"/>
  </si>
  <si>
    <t>201452-P2512A</t>
    <phoneticPr fontId="10"/>
  </si>
  <si>
    <t>201453-P2512A</t>
    <phoneticPr fontId="10"/>
  </si>
  <si>
    <t>201454-P2512A</t>
    <phoneticPr fontId="10"/>
  </si>
  <si>
    <t>201456-P2512A</t>
    <phoneticPr fontId="10"/>
  </si>
  <si>
    <t>201457-P2512A</t>
    <phoneticPr fontId="10"/>
  </si>
  <si>
    <t>201459-P2512A</t>
    <phoneticPr fontId="10"/>
  </si>
  <si>
    <t>ラヴィーレ 本郷_パンフレット　</t>
    <rPh sb="6" eb="8">
      <t>ホンゴウ</t>
    </rPh>
    <phoneticPr fontId="10"/>
  </si>
  <si>
    <t>ＳＯＭＰＯケア そんぽの家 本郷台　※20251222_削除依頼</t>
    <rPh sb="14" eb="17">
      <t>ホンゴウダイ</t>
    </rPh>
    <phoneticPr fontId="10"/>
  </si>
  <si>
    <t>201460-P2512A</t>
    <phoneticPr fontId="10"/>
  </si>
  <si>
    <t>201443-P2512A</t>
    <phoneticPr fontId="10"/>
  </si>
  <si>
    <t>201444-P2512A</t>
    <phoneticPr fontId="10"/>
  </si>
  <si>
    <t>201484-P2512A</t>
    <phoneticPr fontId="10"/>
  </si>
  <si>
    <t>201485-P2512A</t>
    <phoneticPr fontId="10"/>
  </si>
  <si>
    <t>201486-P2512A</t>
    <phoneticPr fontId="10"/>
  </si>
  <si>
    <t>201487-P2512A</t>
    <phoneticPr fontId="10"/>
  </si>
  <si>
    <t>201045-P2512A</t>
    <phoneticPr fontId="10"/>
  </si>
  <si>
    <t>201455-N2601A</t>
    <phoneticPr fontId="10"/>
  </si>
  <si>
    <t>パンフのみ(入居案内なし)20260107指示</t>
    <rPh sb="21" eb="23">
      <t>シジ</t>
    </rPh>
    <phoneticPr fontId="10"/>
  </si>
  <si>
    <t>いきガイド パンフレット</t>
    <phoneticPr fontId="10"/>
  </si>
  <si>
    <t>C:\Users\r35000071\Ricoh\BP室　共有サーバー１ - General\1003_SOMPO\★作業指示書作成ツール(work)_価格振分機能追加_20260107_いきガイドパンフ_改訂.xlsm</t>
    <phoneticPr fontId="10"/>
  </si>
  <si>
    <t>201455-P2601A</t>
    <phoneticPr fontId="10"/>
  </si>
  <si>
    <t>作業指示書番号</t>
  </si>
  <si>
    <t>出庫予定日</t>
  </si>
  <si>
    <t>B000002</t>
  </si>
  <si>
    <t>B000001</t>
  </si>
  <si>
    <t>B000007</t>
  </si>
  <si>
    <t>B000006</t>
  </si>
  <si>
    <t>B000005</t>
  </si>
  <si>
    <t>SOMPO受注YYYYMMDD新藤様</t>
    <phoneticPr fontId="10"/>
  </si>
  <si>
    <t>印行(パンフレット)</t>
    <phoneticPr fontId="10"/>
  </si>
  <si>
    <t>印行(入居案内)</t>
  </si>
  <si>
    <t>SOMPOケア　本部</t>
  </si>
  <si>
    <t>RSTES250929-0003</t>
  </si>
  <si>
    <t>株式会社SPinno</t>
  </si>
  <si>
    <t>共通</t>
  </si>
  <si>
    <t>SPinno CS担当者</t>
  </si>
  <si>
    <t>103-0022</t>
  </si>
  <si>
    <t>03-5542-1414</t>
  </si>
  <si>
    <t>発注依頼本部承認待ち</t>
  </si>
  <si>
    <t>C000001</t>
  </si>
  <si>
    <t>のぼり旗用ポール 【1本/1梱包】</t>
  </si>
  <si>
    <t>SOMPOケア　本部以外</t>
  </si>
  <si>
    <t>RSTES250929-0004</t>
  </si>
  <si>
    <t>角２封筒窓付・後納 【50部/1梱包】</t>
  </si>
  <si>
    <t>B000008</t>
  </si>
  <si>
    <t>ＳＬＳ専用　長３窓・後納シール付_請求書封筒 【50部/1梱包】</t>
  </si>
  <si>
    <t>RSTES251022-0001</t>
  </si>
  <si>
    <t>リコージャパン株式会社</t>
  </si>
  <si>
    <t>リコージャパン　SOMPOケア　フロントオフィス用</t>
  </si>
  <si>
    <t>108-0023</t>
  </si>
  <si>
    <t>★角2封筒・後納マーク無し 【50部/1梱包】</t>
  </si>
  <si>
    <t>RSTES251022-0003</t>
  </si>
  <si>
    <t>ラヴィーレレジデンス徳川園【50部/1梱包】</t>
  </si>
  <si>
    <t>RSTES251022-0004</t>
  </si>
  <si>
    <t>長３窓付封筒・後納 【50部/1梱包】</t>
  </si>
  <si>
    <t>RSTES251023-0001</t>
  </si>
  <si>
    <t>長３封筒・後納 【50部/1梱包】</t>
  </si>
  <si>
    <t>RSTES251023-0002</t>
  </si>
  <si>
    <t>ラヴィ―レ厚木【50部/1梱包】</t>
  </si>
  <si>
    <t>RSTES251023-0003</t>
  </si>
  <si>
    <t>C001013</t>
  </si>
  <si>
    <t>イベント・機関先営業用ロゴ入りボールペン(ノック式黒1色ボールペン)※OPP袋入り／ 色選択不可 本 【1本/1梱包】</t>
  </si>
  <si>
    <t>RSTES251023-0004</t>
  </si>
  <si>
    <t>03-0000-0000</t>
  </si>
  <si>
    <t>A000056</t>
  </si>
  <si>
    <t>＜中四国・九州エリア＞エリア別ホーム一覧 【50部/1梱包】</t>
  </si>
  <si>
    <t>RSTES251023-0005</t>
  </si>
  <si>
    <t>RSTES251023-0006</t>
  </si>
  <si>
    <t>RSTES251029-0001</t>
  </si>
  <si>
    <t>★長3封筒・後納マーク無し 【50部/1梱包】</t>
  </si>
  <si>
    <t>tsushima@spinno.co.jp</t>
  </si>
  <si>
    <t>会計部門コード</t>
  </si>
  <si>
    <t>hidenobu_naitoh@jp.ricoh.co.jp</t>
  </si>
  <si>
    <t>中央区 日本橋室町1-13-5</t>
  </si>
  <si>
    <t/>
  </si>
  <si>
    <t>港区 芝浦（２～４丁目）</t>
  </si>
  <si>
    <t>港区 芝浦３-４-１</t>
  </si>
  <si>
    <t>C:\Git repository_local\so_order\desired_cell_array_UTF 1.csv</t>
    <phoneticPr fontId="10"/>
  </si>
  <si>
    <t>ビジネスプロモーション室</t>
    <rPh sb="11" eb="12">
      <t>シツ</t>
    </rPh>
    <phoneticPr fontId="10"/>
  </si>
  <si>
    <t>山中 篤</t>
    <rPh sb="0" eb="2">
      <t>ヤマナカ</t>
    </rPh>
    <rPh sb="3" eb="4">
      <t>アツシ</t>
    </rPh>
    <phoneticPr fontId="10"/>
  </si>
  <si>
    <t>FAX:03-5742-2842</t>
  </si>
  <si>
    <t>No．</t>
  </si>
  <si>
    <t>受発注No.
受注日</t>
  </si>
  <si>
    <t>届け先
住所
担当　</t>
  </si>
  <si>
    <t>商品コード
品番
品名</t>
  </si>
  <si>
    <t>数量
単価
金額</t>
  </si>
  <si>
    <t>仕入数量</t>
  </si>
  <si>
    <t>入庫日</t>
  </si>
  <si>
    <t>担当者　宛て</t>
    <phoneticPr fontId="10"/>
  </si>
  <si>
    <t>デジタルコンテンツクリエイト事業部</t>
    <phoneticPr fontId="10"/>
  </si>
  <si>
    <t>FAX：03-5607-8412</t>
    <phoneticPr fontId="10"/>
  </si>
  <si>
    <t>番号</t>
    <rPh sb="0" eb="2">
      <t>バンゴウ</t>
    </rPh>
    <phoneticPr fontId="10"/>
  </si>
  <si>
    <t>SOMPO受付YYYYMMDD マルテックス様_拠点配送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</si>
</sst>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¥&quot;#,##0;[Red]&quot;¥&quot;\-#,##0"/>
    <numFmt numFmtId="8" formatCode="&quot;¥&quot;#,##0.00;[Red]&quot;¥&quot;\-#,##0.00"/>
    <numFmt numFmtId="176" formatCode="0.00_ "/>
    <numFmt numFmtId="177" formatCode="#,##0_ "/>
    <numFmt numFmtId="178" formatCode="yyyymmdd"/>
    <numFmt numFmtId="179" formatCode="m/d;@"/>
    <numFmt numFmtId="180" formatCode="0_);[Red]\(0\)"/>
    <numFmt numFmtId="181" formatCode="0.0_ "/>
  </numFmts>
  <fonts count="4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sz val="8"/>
      <color rgb="FF9C0006"/>
      <name val="メイリオ"/>
      <family val="2"/>
      <charset val="128"/>
    </font>
    <font>
      <sz val="8"/>
      <color rgb="FF000000"/>
      <name val="メイリオ"/>
      <family val="3"/>
      <charset val="128"/>
    </font>
    <font>
      <sz val="8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sz val="8"/>
      <name val="ＭＳ Ｐゴシック"/>
      <family val="3"/>
      <charset val="128"/>
    </font>
    <font>
      <sz val="8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8"/>
      <color theme="0"/>
      <name val="メイリオ"/>
      <family val="3"/>
      <charset val="128"/>
    </font>
    <font>
      <sz val="8"/>
      <color indexed="10"/>
      <name val="メイリオ"/>
      <family val="3"/>
      <charset val="128"/>
    </font>
    <font>
      <sz val="8"/>
      <color indexed="9"/>
      <name val="メイリオ"/>
      <family val="3"/>
      <charset val="128"/>
    </font>
    <font>
      <sz val="8"/>
      <color rgb="FFFF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  <font>
      <sz val="9"/>
      <name val="Meiryo UI"/>
      <family val="3"/>
      <charset val="128"/>
    </font>
    <font>
      <sz val="11"/>
      <name val="Meiryo UI"/>
      <family val="3"/>
      <charset val="128"/>
    </font>
    <font>
      <sz val="1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9"/>
      <name val="ＭＳ Ｐゴシック"/>
      <family val="3"/>
      <charset val="128"/>
      <scheme val="minor"/>
    </font>
    <font>
      <sz val="10"/>
      <name val="Microsoft Sans Serif"/>
      <family val="2"/>
    </font>
    <font>
      <b/>
      <sz val="10"/>
      <name val="ＭＳ Ｐゴシック"/>
      <family val="3"/>
      <charset val="128"/>
    </font>
    <font>
      <b/>
      <sz val="8"/>
      <color rgb="FFFF0000"/>
      <name val="メイリオ"/>
      <family val="3"/>
      <charset val="128"/>
    </font>
    <font>
      <sz val="8"/>
      <color theme="9" tint="-0.49998474074526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EFFBE"/>
        <bgColor indexed="64"/>
      </patternFill>
    </fill>
    <fill>
      <patternFill patternType="solid">
        <fgColor rgb="FFDCDCFF"/>
        <bgColor indexed="64"/>
      </patternFill>
    </fill>
    <fill>
      <patternFill patternType="solid">
        <fgColor rgb="FFFFA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</borders>
  <cellStyleXfs count="16">
    <xf numFmtId="0" fontId="0" fillId="0" borderId="0"/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38" fontId="9" fillId="0" borderId="0" applyFont="0" applyFill="0" applyBorder="0" applyAlignment="0" applyProtection="0"/>
    <xf numFmtId="0" fontId="18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38" fontId="24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>
      <alignment vertical="center"/>
    </xf>
    <xf numFmtId="6" fontId="9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8" fillId="8" borderId="0" applyNumberFormat="0" applyBorder="0" applyAlignment="0" applyProtection="0">
      <alignment vertical="center"/>
    </xf>
    <xf numFmtId="0" fontId="9" fillId="0" borderId="0"/>
  </cellStyleXfs>
  <cellXfs count="235">
    <xf numFmtId="0" fontId="0" fillId="0" borderId="0" xfId="0"/>
    <xf numFmtId="0" fontId="12" fillId="0" borderId="0" xfId="0" applyFont="1"/>
    <xf numFmtId="0" fontId="13" fillId="0" borderId="0" xfId="0" applyFont="1"/>
    <xf numFmtId="0" fontId="14" fillId="0" borderId="0" xfId="0" applyFont="1"/>
    <xf numFmtId="0" fontId="22" fillId="0" borderId="0" xfId="0" applyFont="1"/>
    <xf numFmtId="0" fontId="20" fillId="9" borderId="1" xfId="0" applyFont="1" applyFill="1" applyBorder="1" applyAlignment="1">
      <alignment vertical="center"/>
    </xf>
    <xf numFmtId="49" fontId="20" fillId="0" borderId="0" xfId="4" applyNumberFormat="1" applyFont="1" applyFill="1" applyBorder="1" applyAlignment="1">
      <alignment horizontal="left" vertical="center"/>
    </xf>
    <xf numFmtId="49" fontId="20" fillId="0" borderId="0" xfId="5" applyNumberFormat="1" applyFont="1" applyFill="1" applyBorder="1" applyAlignment="1">
      <alignment horizontal="left" vertical="top"/>
    </xf>
    <xf numFmtId="49" fontId="26" fillId="6" borderId="0" xfId="3" applyNumberFormat="1" applyFont="1" applyBorder="1" applyAlignment="1">
      <alignment horizontal="left" vertical="center"/>
    </xf>
    <xf numFmtId="49" fontId="26" fillId="6" borderId="0" xfId="3" applyNumberFormat="1" applyFont="1" applyBorder="1" applyAlignment="1">
      <alignment horizontal="left" vertical="center" wrapText="1"/>
    </xf>
    <xf numFmtId="49" fontId="26" fillId="4" borderId="0" xfId="1" applyNumberFormat="1" applyFont="1" applyBorder="1" applyAlignment="1">
      <alignment horizontal="left" vertical="center" wrapText="1"/>
    </xf>
    <xf numFmtId="49" fontId="26" fillId="5" borderId="0" xfId="2" applyNumberFormat="1" applyFont="1" applyBorder="1" applyAlignment="1">
      <alignment horizontal="left" vertical="center" wrapText="1"/>
    </xf>
    <xf numFmtId="49" fontId="20" fillId="0" borderId="0" xfId="4" applyNumberFormat="1" applyFont="1" applyFill="1" applyBorder="1" applyAlignment="1">
      <alignment horizontal="left" vertical="top"/>
    </xf>
    <xf numFmtId="0" fontId="20" fillId="0" borderId="0" xfId="5" applyNumberFormat="1" applyFont="1" applyFill="1" applyBorder="1" applyAlignment="1">
      <alignment horizontal="left" vertical="top"/>
    </xf>
    <xf numFmtId="49" fontId="20" fillId="0" borderId="0" xfId="5" applyNumberFormat="1" applyFont="1" applyFill="1" applyBorder="1" applyAlignment="1">
      <alignment horizontal="right" vertical="top"/>
    </xf>
    <xf numFmtId="0" fontId="0" fillId="0" borderId="0" xfId="0" applyAlignment="1">
      <alignment vertical="center"/>
    </xf>
    <xf numFmtId="0" fontId="32" fillId="0" borderId="0" xfId="0" applyFont="1"/>
    <xf numFmtId="0" fontId="32" fillId="0" borderId="3" xfId="0" applyFont="1" applyBorder="1" applyAlignment="1">
      <alignment horizontal="left"/>
    </xf>
    <xf numFmtId="0" fontId="32" fillId="0" borderId="5" xfId="0" applyFont="1" applyBorder="1" applyAlignment="1">
      <alignment horizontal="left"/>
    </xf>
    <xf numFmtId="0" fontId="32" fillId="0" borderId="4" xfId="0" applyFont="1" applyBorder="1" applyAlignment="1">
      <alignment horizontal="left"/>
    </xf>
    <xf numFmtId="0" fontId="33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/>
    </xf>
    <xf numFmtId="0" fontId="33" fillId="0" borderId="3" xfId="0" applyFont="1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5" xfId="0" applyFont="1" applyBorder="1" applyAlignment="1">
      <alignment horizontal="left" vertical="center"/>
    </xf>
    <xf numFmtId="176" fontId="33" fillId="0" borderId="5" xfId="0" applyNumberFormat="1" applyFont="1" applyBorder="1" applyAlignment="1">
      <alignment horizontal="left"/>
    </xf>
    <xf numFmtId="0" fontId="33" fillId="0" borderId="5" xfId="0" applyFont="1" applyBorder="1" applyAlignment="1">
      <alignment horizontal="center"/>
    </xf>
    <xf numFmtId="177" fontId="33" fillId="0" borderId="4" xfId="0" applyNumberFormat="1" applyFont="1" applyBorder="1" applyAlignment="1">
      <alignment horizontal="left"/>
    </xf>
    <xf numFmtId="0" fontId="33" fillId="0" borderId="4" xfId="0" applyFont="1" applyBorder="1" applyAlignment="1">
      <alignment horizontal="center"/>
    </xf>
    <xf numFmtId="0" fontId="33" fillId="0" borderId="0" xfId="0" applyFont="1"/>
    <xf numFmtId="8" fontId="20" fillId="2" borderId="0" xfId="9" applyNumberFormat="1" applyFont="1" applyFill="1" applyBorder="1" applyAlignment="1">
      <alignment horizontal="left" vertical="center"/>
    </xf>
    <xf numFmtId="8" fontId="20" fillId="0" borderId="0" xfId="9" applyNumberFormat="1" applyFont="1" applyFill="1" applyBorder="1" applyAlignment="1">
      <alignment horizontal="left" vertical="top"/>
    </xf>
    <xf numFmtId="8" fontId="20" fillId="0" borderId="0" xfId="9" applyNumberFormat="1" applyFont="1" applyFill="1" applyBorder="1" applyAlignment="1">
      <alignment horizontal="left" vertical="center"/>
    </xf>
    <xf numFmtId="8" fontId="20" fillId="13" borderId="0" xfId="9" applyNumberFormat="1" applyFont="1" applyFill="1" applyBorder="1" applyAlignment="1">
      <alignment horizontal="left" vertical="top"/>
    </xf>
    <xf numFmtId="0" fontId="34" fillId="0" borderId="0" xfId="0" applyFont="1"/>
    <xf numFmtId="178" fontId="33" fillId="0" borderId="4" xfId="0" applyNumberFormat="1" applyFont="1" applyBorder="1" applyAlignment="1">
      <alignment horizontal="left" vertical="center"/>
    </xf>
    <xf numFmtId="0" fontId="8" fillId="0" borderId="0" xfId="10">
      <alignment vertical="center"/>
    </xf>
    <xf numFmtId="0" fontId="39" fillId="15" borderId="2" xfId="11" applyFont="1" applyFill="1" applyBorder="1">
      <alignment vertical="center"/>
    </xf>
    <xf numFmtId="0" fontId="39" fillId="15" borderId="2" xfId="11" quotePrefix="1" applyFont="1" applyFill="1" applyBorder="1">
      <alignment vertical="center"/>
    </xf>
    <xf numFmtId="0" fontId="40" fillId="0" borderId="0" xfId="0" applyFont="1"/>
    <xf numFmtId="49" fontId="0" fillId="0" borderId="0" xfId="0" applyNumberFormat="1" applyAlignment="1">
      <alignment vertical="center"/>
    </xf>
    <xf numFmtId="0" fontId="0" fillId="17" borderId="2" xfId="0" applyFill="1" applyBorder="1"/>
    <xf numFmtId="0" fontId="0" fillId="0" borderId="2" xfId="0" applyBorder="1"/>
    <xf numFmtId="0" fontId="6" fillId="0" borderId="0" xfId="10" applyFont="1" applyAlignment="1">
      <alignment horizontal="right" vertical="center"/>
    </xf>
    <xf numFmtId="0" fontId="0" fillId="18" borderId="2" xfId="0" applyFill="1" applyBorder="1"/>
    <xf numFmtId="0" fontId="0" fillId="19" borderId="2" xfId="0" applyFill="1" applyBorder="1"/>
    <xf numFmtId="0" fontId="0" fillId="20" borderId="2" xfId="0" applyFill="1" applyBorder="1"/>
    <xf numFmtId="14" fontId="0" fillId="20" borderId="2" xfId="0" applyNumberFormat="1" applyFill="1" applyBorder="1"/>
    <xf numFmtId="14" fontId="0" fillId="0" borderId="0" xfId="0" applyNumberFormat="1"/>
    <xf numFmtId="49" fontId="38" fillId="16" borderId="2" xfId="0" applyNumberFormat="1" applyFont="1" applyFill="1" applyBorder="1" applyAlignment="1">
      <alignment vertical="center"/>
    </xf>
    <xf numFmtId="49" fontId="0" fillId="0" borderId="2" xfId="0" applyNumberFormat="1" applyBorder="1"/>
    <xf numFmtId="0" fontId="41" fillId="0" borderId="0" xfId="0" applyFont="1"/>
    <xf numFmtId="0" fontId="11" fillId="0" borderId="0" xfId="0" applyFont="1"/>
    <xf numFmtId="0" fontId="7" fillId="14" borderId="2" xfId="10" applyFont="1" applyFill="1" applyBorder="1">
      <alignment vertical="center"/>
    </xf>
    <xf numFmtId="0" fontId="8" fillId="14" borderId="2" xfId="10" applyFill="1" applyBorder="1">
      <alignment vertical="center"/>
    </xf>
    <xf numFmtId="0" fontId="0" fillId="0" borderId="2" xfId="0" applyBorder="1" applyAlignment="1">
      <alignment vertical="center"/>
    </xf>
    <xf numFmtId="0" fontId="8" fillId="0" borderId="2" xfId="10" applyBorder="1">
      <alignment vertical="center"/>
    </xf>
    <xf numFmtId="0" fontId="6" fillId="0" borderId="2" xfId="10" applyFont="1" applyBorder="1">
      <alignment vertical="center"/>
    </xf>
    <xf numFmtId="0" fontId="6" fillId="0" borderId="2" xfId="10" applyFont="1" applyBorder="1" applyAlignment="1">
      <alignment horizontal="right" vertical="center"/>
    </xf>
    <xf numFmtId="0" fontId="0" fillId="27" borderId="2" xfId="0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0" fontId="11" fillId="0" borderId="0" xfId="0" applyFont="1" applyAlignment="1">
      <alignment horizontal="right"/>
    </xf>
    <xf numFmtId="49" fontId="0" fillId="0" borderId="0" xfId="0" applyNumberFormat="1"/>
    <xf numFmtId="0" fontId="0" fillId="22" borderId="2" xfId="0" applyFill="1" applyBorder="1" applyAlignment="1">
      <alignment vertical="center"/>
    </xf>
    <xf numFmtId="180" fontId="0" fillId="0" borderId="2" xfId="0" applyNumberFormat="1" applyBorder="1"/>
    <xf numFmtId="0" fontId="0" fillId="23" borderId="2" xfId="0" applyFill="1" applyBorder="1" applyAlignment="1">
      <alignment vertical="center"/>
    </xf>
    <xf numFmtId="0" fontId="0" fillId="21" borderId="2" xfId="0" applyFill="1" applyBorder="1" applyAlignment="1">
      <alignment vertical="center"/>
    </xf>
    <xf numFmtId="0" fontId="0" fillId="24" borderId="2" xfId="0" applyFill="1" applyBorder="1" applyAlignment="1">
      <alignment vertical="center"/>
    </xf>
    <xf numFmtId="0" fontId="0" fillId="20" borderId="2" xfId="0" applyFill="1" applyBorder="1" applyAlignment="1">
      <alignment vertical="center"/>
    </xf>
    <xf numFmtId="0" fontId="0" fillId="25" borderId="2" xfId="0" applyFill="1" applyBorder="1" applyAlignment="1">
      <alignment vertical="center"/>
    </xf>
    <xf numFmtId="0" fontId="0" fillId="26" borderId="2" xfId="0" applyFill="1" applyBorder="1" applyAlignment="1">
      <alignment vertical="center"/>
    </xf>
    <xf numFmtId="0" fontId="0" fillId="11" borderId="2" xfId="0" applyFill="1" applyBorder="1" applyAlignment="1">
      <alignment vertical="center"/>
    </xf>
    <xf numFmtId="0" fontId="20" fillId="2" borderId="1" xfId="0" applyFont="1" applyFill="1" applyBorder="1"/>
    <xf numFmtId="0" fontId="20" fillId="2" borderId="1" xfId="0" applyFont="1" applyFill="1" applyBorder="1" applyAlignment="1">
      <alignment vertical="center"/>
    </xf>
    <xf numFmtId="0" fontId="23" fillId="10" borderId="1" xfId="0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0" fillId="27" borderId="2" xfId="0" applyFill="1" applyBorder="1"/>
    <xf numFmtId="0" fontId="0" fillId="19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8" fontId="20" fillId="17" borderId="0" xfId="9" applyNumberFormat="1" applyFont="1" applyFill="1" applyBorder="1" applyAlignment="1">
      <alignment horizontal="left" vertical="top"/>
    </xf>
    <xf numFmtId="8" fontId="20" fillId="28" borderId="0" xfId="9" applyNumberFormat="1" applyFont="1" applyFill="1" applyBorder="1" applyAlignment="1">
      <alignment horizontal="left" vertical="top"/>
    </xf>
    <xf numFmtId="49" fontId="38" fillId="29" borderId="2" xfId="0" applyNumberFormat="1" applyFont="1" applyFill="1" applyBorder="1" applyAlignment="1">
      <alignment vertical="center"/>
    </xf>
    <xf numFmtId="0" fontId="4" fillId="0" borderId="2" xfId="10" applyFont="1" applyBorder="1">
      <alignment vertical="center"/>
    </xf>
    <xf numFmtId="0" fontId="23" fillId="0" borderId="10" xfId="0" applyFont="1" applyBorder="1" applyAlignment="1">
      <alignment vertical="center"/>
    </xf>
    <xf numFmtId="0" fontId="23" fillId="30" borderId="10" xfId="0" applyFont="1" applyFill="1" applyBorder="1" applyAlignment="1">
      <alignment vertical="center"/>
    </xf>
    <xf numFmtId="49" fontId="20" fillId="0" borderId="0" xfId="0" applyNumberFormat="1" applyFont="1" applyAlignment="1">
      <alignment horizontal="left" vertical="center"/>
    </xf>
    <xf numFmtId="49" fontId="20" fillId="13" borderId="0" xfId="4" applyNumberFormat="1" applyFont="1" applyFill="1" applyBorder="1" applyAlignment="1">
      <alignment horizontal="left" vertical="center"/>
    </xf>
    <xf numFmtId="49" fontId="20" fillId="13" borderId="0" xfId="4" applyNumberFormat="1" applyFont="1" applyFill="1" applyBorder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49" fontId="29" fillId="0" borderId="0" xfId="0" applyNumberFormat="1" applyFont="1" applyAlignment="1">
      <alignment horizontal="left" vertical="center"/>
    </xf>
    <xf numFmtId="0" fontId="20" fillId="10" borderId="0" xfId="0" applyFont="1" applyFill="1" applyAlignment="1">
      <alignment horizontal="left" vertical="center"/>
    </xf>
    <xf numFmtId="49" fontId="20" fillId="13" borderId="0" xfId="0" applyNumberFormat="1" applyFont="1" applyFill="1" applyAlignment="1">
      <alignment horizontal="left" vertical="center"/>
    </xf>
    <xf numFmtId="49" fontId="29" fillId="13" borderId="0" xfId="0" applyNumberFormat="1" applyFont="1" applyFill="1" applyAlignment="1">
      <alignment horizontal="left" vertical="center"/>
    </xf>
    <xf numFmtId="8" fontId="20" fillId="13" borderId="0" xfId="9" applyNumberFormat="1" applyFont="1" applyFill="1" applyBorder="1" applyAlignment="1">
      <alignment horizontal="left" vertical="center"/>
    </xf>
    <xf numFmtId="0" fontId="20" fillId="10" borderId="0" xfId="0" applyFont="1" applyFill="1" applyAlignment="1">
      <alignment horizontal="left" vertical="top"/>
    </xf>
    <xf numFmtId="49" fontId="29" fillId="33" borderId="0" xfId="0" applyNumberFormat="1" applyFont="1" applyFill="1" applyAlignment="1">
      <alignment horizontal="left" vertical="center"/>
    </xf>
    <xf numFmtId="49" fontId="20" fillId="33" borderId="0" xfId="0" applyNumberFormat="1" applyFont="1" applyFill="1" applyAlignment="1">
      <alignment horizontal="left" vertical="center"/>
    </xf>
    <xf numFmtId="49" fontId="20" fillId="33" borderId="0" xfId="4" applyNumberFormat="1" applyFont="1" applyFill="1" applyBorder="1" applyAlignment="1">
      <alignment horizontal="left" vertical="center"/>
    </xf>
    <xf numFmtId="49" fontId="20" fillId="33" borderId="0" xfId="0" applyNumberFormat="1" applyFont="1" applyFill="1" applyAlignment="1">
      <alignment horizontal="left" vertical="top"/>
    </xf>
    <xf numFmtId="49" fontId="42" fillId="33" borderId="0" xfId="0" applyNumberFormat="1" applyFont="1" applyFill="1" applyAlignment="1">
      <alignment horizontal="left" vertical="center"/>
    </xf>
    <xf numFmtId="0" fontId="29" fillId="33" borderId="0" xfId="0" applyFont="1" applyFill="1" applyAlignment="1">
      <alignment horizontal="left" vertical="top"/>
    </xf>
    <xf numFmtId="0" fontId="29" fillId="33" borderId="0" xfId="0" applyFont="1" applyFill="1" applyAlignment="1">
      <alignment horizontal="left" vertical="center"/>
    </xf>
    <xf numFmtId="49" fontId="29" fillId="34" borderId="0" xfId="0" applyNumberFormat="1" applyFont="1" applyFill="1" applyAlignment="1">
      <alignment horizontal="left" vertical="center"/>
    </xf>
    <xf numFmtId="14" fontId="11" fillId="0" borderId="0" xfId="0" applyNumberFormat="1" applyFont="1"/>
    <xf numFmtId="49" fontId="11" fillId="0" borderId="0" xfId="0" applyNumberFormat="1" applyFont="1"/>
    <xf numFmtId="49" fontId="28" fillId="3" borderId="0" xfId="0" applyNumberFormat="1" applyFont="1" applyFill="1" applyAlignment="1">
      <alignment horizontal="left" vertical="center"/>
    </xf>
    <xf numFmtId="49" fontId="26" fillId="7" borderId="0" xfId="0" applyNumberFormat="1" applyFont="1" applyFill="1" applyAlignment="1">
      <alignment horizontal="left" vertical="center" wrapText="1"/>
    </xf>
    <xf numFmtId="49" fontId="26" fillId="7" borderId="0" xfId="0" applyNumberFormat="1" applyFont="1" applyFill="1" applyAlignment="1">
      <alignment horizontal="left" vertical="center"/>
    </xf>
    <xf numFmtId="49" fontId="20" fillId="2" borderId="0" xfId="0" applyNumberFormat="1" applyFont="1" applyFill="1" applyAlignment="1">
      <alignment horizontal="left" vertical="center"/>
    </xf>
    <xf numFmtId="49" fontId="20" fillId="2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vertical="center" shrinkToFit="1"/>
    </xf>
    <xf numFmtId="0" fontId="30" fillId="0" borderId="0" xfId="0" applyFont="1" applyAlignment="1">
      <alignment vertical="center"/>
    </xf>
    <xf numFmtId="49" fontId="20" fillId="0" borderId="0" xfId="0" applyNumberFormat="1" applyFont="1" applyAlignment="1">
      <alignment horizontal="right" vertical="top"/>
    </xf>
    <xf numFmtId="0" fontId="20" fillId="0" borderId="0" xfId="0" applyFont="1" applyAlignment="1">
      <alignment vertical="top"/>
    </xf>
    <xf numFmtId="49" fontId="0" fillId="0" borderId="0" xfId="0" applyNumberFormat="1" applyAlignment="1">
      <alignment horizontal="left" vertical="top"/>
    </xf>
    <xf numFmtId="0" fontId="30" fillId="12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30" fillId="12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49" fontId="29" fillId="0" borderId="0" xfId="0" applyNumberFormat="1" applyFont="1" applyAlignment="1">
      <alignment horizontal="left" vertical="top"/>
    </xf>
    <xf numFmtId="49" fontId="20" fillId="31" borderId="0" xfId="0" applyNumberFormat="1" applyFont="1" applyFill="1" applyAlignment="1">
      <alignment horizontal="left" vertical="center"/>
    </xf>
    <xf numFmtId="0" fontId="20" fillId="32" borderId="0" xfId="0" applyFont="1" applyFill="1" applyAlignment="1">
      <alignment horizontal="left" vertical="center"/>
    </xf>
    <xf numFmtId="49" fontId="20" fillId="34" borderId="0" xfId="0" applyNumberFormat="1" applyFont="1" applyFill="1" applyAlignment="1">
      <alignment horizontal="left" vertical="center"/>
    </xf>
    <xf numFmtId="49" fontId="20" fillId="32" borderId="0" xfId="0" applyNumberFormat="1" applyFont="1" applyFill="1" applyAlignment="1">
      <alignment horizontal="left" vertical="center"/>
    </xf>
    <xf numFmtId="49" fontId="20" fillId="17" borderId="0" xfId="0" applyNumberFormat="1" applyFont="1" applyFill="1" applyAlignment="1">
      <alignment horizontal="left" vertical="center"/>
    </xf>
    <xf numFmtId="0" fontId="20" fillId="0" borderId="0" xfId="0" applyFont="1" applyAlignment="1">
      <alignment horizontal="left" vertical="center"/>
    </xf>
    <xf numFmtId="8" fontId="20" fillId="11" borderId="0" xfId="9" applyNumberFormat="1" applyFont="1" applyFill="1" applyBorder="1" applyAlignment="1">
      <alignment horizontal="left" vertical="center"/>
    </xf>
    <xf numFmtId="49" fontId="29" fillId="0" borderId="0" xfId="6" applyNumberFormat="1" applyFont="1" applyAlignment="1">
      <alignment horizontal="left" vertical="center"/>
    </xf>
    <xf numFmtId="49" fontId="20" fillId="0" borderId="0" xfId="8" applyNumberFormat="1" applyFont="1" applyFill="1" applyBorder="1" applyAlignment="1">
      <alignment horizontal="left" vertical="center"/>
    </xf>
    <xf numFmtId="49" fontId="20" fillId="0" borderId="0" xfId="6" applyNumberFormat="1" applyFont="1" applyAlignment="1">
      <alignment horizontal="left" vertical="center"/>
    </xf>
    <xf numFmtId="49" fontId="29" fillId="0" borderId="0" xfId="8" applyNumberFormat="1" applyFont="1" applyFill="1" applyBorder="1" applyAlignment="1">
      <alignment horizontal="left" vertical="center"/>
    </xf>
    <xf numFmtId="49" fontId="29" fillId="0" borderId="0" xfId="8" applyNumberFormat="1" applyFont="1" applyFill="1" applyBorder="1" applyAlignment="1">
      <alignment horizontal="left" vertical="top"/>
    </xf>
    <xf numFmtId="49" fontId="20" fillId="0" borderId="0" xfId="6" applyNumberFormat="1" applyFont="1" applyAlignment="1">
      <alignment horizontal="left" vertical="top"/>
    </xf>
    <xf numFmtId="0" fontId="20" fillId="0" borderId="0" xfId="6" applyFont="1" applyAlignment="1">
      <alignment horizontal="left" vertical="center"/>
    </xf>
    <xf numFmtId="49" fontId="20" fillId="0" borderId="0" xfId="8" applyNumberFormat="1" applyFont="1" applyFill="1" applyBorder="1" applyAlignment="1">
      <alignment horizontal="left" vertical="top"/>
    </xf>
    <xf numFmtId="0" fontId="29" fillId="0" borderId="0" xfId="0" applyFont="1" applyAlignment="1">
      <alignment horizontal="left" vertical="center"/>
    </xf>
    <xf numFmtId="0" fontId="29" fillId="0" borderId="0" xfId="6" applyFont="1" applyAlignment="1">
      <alignment horizontal="left" vertical="center"/>
    </xf>
    <xf numFmtId="49" fontId="29" fillId="0" borderId="0" xfId="4" applyNumberFormat="1" applyFont="1" applyFill="1" applyBorder="1" applyAlignment="1">
      <alignment horizontal="left" vertical="center"/>
    </xf>
    <xf numFmtId="49" fontId="29" fillId="13" borderId="0" xfId="4" applyNumberFormat="1" applyFont="1" applyFill="1" applyBorder="1" applyAlignment="1">
      <alignment horizontal="left" vertical="top"/>
    </xf>
    <xf numFmtId="49" fontId="29" fillId="13" borderId="0" xfId="8" applyNumberFormat="1" applyFont="1" applyFill="1" applyBorder="1" applyAlignment="1">
      <alignment horizontal="left" vertical="center"/>
    </xf>
    <xf numFmtId="49" fontId="29" fillId="13" borderId="0" xfId="8" applyNumberFormat="1" applyFont="1" applyFill="1" applyBorder="1" applyAlignment="1">
      <alignment horizontal="left" vertical="top"/>
    </xf>
    <xf numFmtId="8" fontId="20" fillId="31" borderId="0" xfId="9" applyNumberFormat="1" applyFont="1" applyFill="1" applyBorder="1" applyAlignment="1">
      <alignment horizontal="left" vertical="center"/>
    </xf>
    <xf numFmtId="0" fontId="29" fillId="0" borderId="0" xfId="6" applyFont="1" applyAlignment="1">
      <alignment horizontal="left" vertical="top"/>
    </xf>
    <xf numFmtId="0" fontId="9" fillId="0" borderId="0" xfId="15"/>
    <xf numFmtId="0" fontId="45" fillId="27" borderId="2" xfId="15" applyFont="1" applyFill="1" applyBorder="1" applyAlignment="1">
      <alignment horizontal="center"/>
    </xf>
    <xf numFmtId="0" fontId="9" fillId="0" borderId="2" xfId="15" applyBorder="1" applyAlignment="1">
      <alignment horizontal="right"/>
    </xf>
    <xf numFmtId="0" fontId="9" fillId="17" borderId="2" xfId="15" applyFill="1" applyBorder="1"/>
    <xf numFmtId="0" fontId="9" fillId="0" borderId="2" xfId="15" applyBorder="1"/>
    <xf numFmtId="0" fontId="9" fillId="0" borderId="0" xfId="15" applyAlignment="1">
      <alignment horizontal="right"/>
    </xf>
    <xf numFmtId="0" fontId="0" fillId="0" borderId="2" xfId="15" applyFon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27" borderId="2" xfId="0" applyFill="1" applyBorder="1" applyAlignment="1">
      <alignment horizontal="center"/>
    </xf>
    <xf numFmtId="0" fontId="46" fillId="0" borderId="0" xfId="0" applyFont="1"/>
    <xf numFmtId="0" fontId="0" fillId="9" borderId="9" xfId="0" applyFill="1" applyBorder="1"/>
    <xf numFmtId="0" fontId="46" fillId="0" borderId="2" xfId="0" applyFont="1" applyBorder="1"/>
    <xf numFmtId="49" fontId="20" fillId="35" borderId="0" xfId="0" applyNumberFormat="1" applyFont="1" applyFill="1" applyAlignment="1">
      <alignment horizontal="left" vertical="center"/>
    </xf>
    <xf numFmtId="0" fontId="20" fillId="35" borderId="0" xfId="0" applyFont="1" applyFill="1" applyAlignment="1">
      <alignment horizontal="left" vertical="center"/>
    </xf>
    <xf numFmtId="49" fontId="20" fillId="35" borderId="0" xfId="4" applyNumberFormat="1" applyFont="1" applyFill="1" applyBorder="1" applyAlignment="1">
      <alignment horizontal="left" vertical="center"/>
    </xf>
    <xf numFmtId="49" fontId="20" fillId="35" borderId="0" xfId="8" applyNumberFormat="1" applyFont="1" applyFill="1" applyBorder="1" applyAlignment="1">
      <alignment horizontal="left" vertical="center"/>
    </xf>
    <xf numFmtId="49" fontId="20" fillId="35" borderId="0" xfId="6" applyNumberFormat="1" applyFont="1" applyFill="1" applyAlignment="1">
      <alignment horizontal="left" vertical="center"/>
    </xf>
    <xf numFmtId="49" fontId="20" fillId="35" borderId="0" xfId="0" applyNumberFormat="1" applyFont="1" applyFill="1" applyAlignment="1">
      <alignment horizontal="left" vertical="top"/>
    </xf>
    <xf numFmtId="49" fontId="29" fillId="35" borderId="0" xfId="0" applyNumberFormat="1" applyFont="1" applyFill="1" applyAlignment="1">
      <alignment horizontal="left" vertical="center"/>
    </xf>
    <xf numFmtId="8" fontId="20" fillId="35" borderId="0" xfId="9" applyNumberFormat="1" applyFont="1" applyFill="1" applyBorder="1" applyAlignment="1">
      <alignment horizontal="left" vertical="center"/>
    </xf>
    <xf numFmtId="49" fontId="20" fillId="35" borderId="0" xfId="6" applyNumberFormat="1" applyFont="1" applyFill="1" applyAlignment="1">
      <alignment horizontal="left" vertical="top"/>
    </xf>
    <xf numFmtId="0" fontId="20" fillId="2" borderId="0" xfId="0" applyFont="1" applyFill="1" applyAlignment="1">
      <alignment horizontal="left" vertical="center"/>
    </xf>
    <xf numFmtId="0" fontId="1" fillId="0" borderId="2" xfId="10" applyFont="1" applyBorder="1">
      <alignment vertical="center"/>
    </xf>
    <xf numFmtId="0" fontId="23" fillId="0" borderId="0" xfId="0" applyFont="1" applyAlignment="1">
      <alignment horizontal="left" vertical="top"/>
    </xf>
    <xf numFmtId="49" fontId="23" fillId="0" borderId="0" xfId="0" applyNumberFormat="1" applyFont="1" applyAlignment="1">
      <alignment horizontal="left" vertical="center"/>
    </xf>
    <xf numFmtId="0" fontId="20" fillId="35" borderId="0" xfId="0" applyFont="1" applyFill="1" applyAlignment="1">
      <alignment horizontal="left" vertical="top"/>
    </xf>
    <xf numFmtId="49" fontId="20" fillId="35" borderId="0" xfId="4" applyNumberFormat="1" applyFont="1" applyFill="1" applyBorder="1" applyAlignment="1">
      <alignment horizontal="left" vertical="top"/>
    </xf>
    <xf numFmtId="0" fontId="29" fillId="35" borderId="0" xfId="0" applyFont="1" applyFill="1" applyAlignment="1">
      <alignment horizontal="left" vertical="top"/>
    </xf>
    <xf numFmtId="0" fontId="47" fillId="0" borderId="2" xfId="10" applyFont="1" applyBorder="1">
      <alignment vertical="center"/>
    </xf>
    <xf numFmtId="0" fontId="0" fillId="36" borderId="0" xfId="0" applyFill="1"/>
    <xf numFmtId="22" fontId="0" fillId="36" borderId="0" xfId="0" applyNumberFormat="1" applyFill="1"/>
    <xf numFmtId="49" fontId="0" fillId="36" borderId="0" xfId="0" applyNumberFormat="1" applyFill="1"/>
    <xf numFmtId="0" fontId="20" fillId="0" borderId="10" xfId="0" applyFont="1" applyBorder="1" applyAlignment="1">
      <alignment vertical="center"/>
    </xf>
    <xf numFmtId="0" fontId="30" fillId="35" borderId="0" xfId="0" applyFont="1" applyFill="1" applyAlignment="1">
      <alignment vertical="center"/>
    </xf>
    <xf numFmtId="49" fontId="20" fillId="35" borderId="0" xfId="0" applyNumberFormat="1" applyFont="1" applyFill="1" applyAlignment="1">
      <alignment horizontal="right" vertical="top"/>
    </xf>
    <xf numFmtId="0" fontId="29" fillId="35" borderId="10" xfId="0" applyFont="1" applyFill="1" applyBorder="1" applyAlignment="1">
      <alignment vertical="center"/>
    </xf>
    <xf numFmtId="8" fontId="20" fillId="35" borderId="0" xfId="9" applyNumberFormat="1" applyFont="1" applyFill="1" applyBorder="1" applyAlignment="1">
      <alignment horizontal="left" vertical="top"/>
    </xf>
    <xf numFmtId="0" fontId="22" fillId="35" borderId="0" xfId="0" applyFont="1" applyFill="1"/>
    <xf numFmtId="0" fontId="23" fillId="0" borderId="0" xfId="0" applyFont="1" applyAlignment="1">
      <alignment vertical="center"/>
    </xf>
    <xf numFmtId="0" fontId="0" fillId="37" borderId="0" xfId="0" applyFill="1"/>
    <xf numFmtId="0" fontId="0" fillId="38" borderId="0" xfId="0" applyFill="1"/>
    <xf numFmtId="0" fontId="20" fillId="39" borderId="1" xfId="0" applyFont="1" applyFill="1" applyBorder="1" applyAlignment="1">
      <alignment vertical="center"/>
    </xf>
    <xf numFmtId="49" fontId="20" fillId="39" borderId="1" xfId="0" applyNumberFormat="1" applyFont="1" applyFill="1" applyBorder="1" applyAlignment="1">
      <alignment vertical="center"/>
    </xf>
    <xf numFmtId="22" fontId="0" fillId="38" borderId="0" xfId="0" applyNumberFormat="1" applyFill="1"/>
    <xf numFmtId="49" fontId="0" fillId="38" borderId="0" xfId="0" applyNumberFormat="1" applyFill="1"/>
    <xf numFmtId="22" fontId="0" fillId="37" borderId="0" xfId="0" applyNumberFormat="1" applyFill="1"/>
    <xf numFmtId="49" fontId="0" fillId="37" borderId="0" xfId="0" applyNumberFormat="1" applyFill="1"/>
    <xf numFmtId="1" fontId="20" fillId="39" borderId="1" xfId="0" applyNumberFormat="1" applyFont="1" applyFill="1" applyBorder="1" applyAlignment="1">
      <alignment vertical="center"/>
    </xf>
    <xf numFmtId="1" fontId="0" fillId="36" borderId="0" xfId="0" applyNumberFormat="1" applyFill="1"/>
    <xf numFmtId="1" fontId="0" fillId="0" borderId="0" xfId="0" applyNumberFormat="1"/>
    <xf numFmtId="1" fontId="0" fillId="38" borderId="0" xfId="0" applyNumberFormat="1" applyFill="1"/>
    <xf numFmtId="1" fontId="0" fillId="37" borderId="0" xfId="0" applyNumberFormat="1" applyFill="1"/>
    <xf numFmtId="181" fontId="0" fillId="0" borderId="0" xfId="0" applyNumberFormat="1"/>
    <xf numFmtId="181" fontId="0" fillId="0" borderId="0" xfId="0" applyNumberFormat="1" applyAlignment="1">
      <alignment vertical="center"/>
    </xf>
    <xf numFmtId="0" fontId="30" fillId="40" borderId="0" xfId="0" applyFont="1" applyFill="1" applyAlignment="1">
      <alignment vertical="center"/>
    </xf>
    <xf numFmtId="0" fontId="44" fillId="40" borderId="0" xfId="0" applyFont="1" applyFill="1" applyAlignment="1">
      <alignment vertical="center"/>
    </xf>
    <xf numFmtId="0" fontId="31" fillId="40" borderId="0" xfId="0" applyFont="1" applyFill="1" applyAlignment="1">
      <alignment vertical="center"/>
    </xf>
    <xf numFmtId="0" fontId="30" fillId="40" borderId="0" xfId="0" applyFont="1" applyFill="1" applyAlignment="1">
      <alignment horizontal="left" vertical="center"/>
    </xf>
    <xf numFmtId="0" fontId="31" fillId="40" borderId="0" xfId="0" applyFont="1" applyFill="1" applyAlignment="1">
      <alignment horizontal="left" vertical="top"/>
    </xf>
    <xf numFmtId="49" fontId="20" fillId="40" borderId="0" xfId="0" applyNumberFormat="1" applyFont="1" applyFill="1" applyAlignment="1">
      <alignment horizontal="left" vertical="center"/>
    </xf>
    <xf numFmtId="49" fontId="29" fillId="40" borderId="0" xfId="6" applyNumberFormat="1" applyFont="1" applyFill="1" applyAlignment="1">
      <alignment horizontal="left" vertical="center"/>
    </xf>
    <xf numFmtId="49" fontId="29" fillId="40" borderId="0" xfId="0" applyNumberFormat="1" applyFont="1" applyFill="1" applyAlignment="1">
      <alignment horizontal="left" vertical="center"/>
    </xf>
    <xf numFmtId="0" fontId="20" fillId="40" borderId="0" xfId="0" applyFont="1" applyFill="1" applyAlignment="1">
      <alignment horizontal="left" vertical="top"/>
    </xf>
    <xf numFmtId="0" fontId="20" fillId="40" borderId="0" xfId="0" applyFont="1" applyFill="1" applyAlignment="1">
      <alignment vertical="center" shrinkToFit="1"/>
    </xf>
    <xf numFmtId="0" fontId="29" fillId="40" borderId="0" xfId="0" applyFont="1" applyFill="1" applyAlignment="1">
      <alignment vertical="center" shrinkToFit="1"/>
    </xf>
    <xf numFmtId="49" fontId="20" fillId="40" borderId="0" xfId="0" applyNumberFormat="1" applyFont="1" applyFill="1" applyAlignment="1">
      <alignment horizontal="left" vertical="top"/>
    </xf>
    <xf numFmtId="49" fontId="43" fillId="40" borderId="0" xfId="0" applyNumberFormat="1" applyFont="1" applyFill="1" applyAlignment="1">
      <alignment horizontal="left" vertical="center"/>
    </xf>
    <xf numFmtId="0" fontId="20" fillId="40" borderId="0" xfId="0" applyFont="1" applyFill="1" applyAlignment="1">
      <alignment horizontal="left" vertical="center"/>
    </xf>
    <xf numFmtId="0" fontId="29" fillId="40" borderId="0" xfId="0" applyFont="1" applyFill="1" applyAlignment="1">
      <alignment horizontal="left" vertical="top"/>
    </xf>
    <xf numFmtId="0" fontId="20" fillId="41" borderId="0" xfId="0" applyFont="1" applyFill="1"/>
    <xf numFmtId="181" fontId="20" fillId="41" borderId="0" xfId="0" applyNumberFormat="1" applyFont="1" applyFill="1"/>
    <xf numFmtId="0" fontId="33" fillId="0" borderId="3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179" fontId="35" fillId="0" borderId="3" xfId="0" applyNumberFormat="1" applyFont="1" applyBorder="1" applyAlignment="1">
      <alignment horizontal="left" vertical="center"/>
    </xf>
    <xf numFmtId="179" fontId="35" fillId="0" borderId="5" xfId="0" applyNumberFormat="1" applyFont="1" applyBorder="1" applyAlignment="1">
      <alignment horizontal="left" vertical="center"/>
    </xf>
    <xf numFmtId="179" fontId="35" fillId="0" borderId="4" xfId="0" applyNumberFormat="1" applyFont="1" applyBorder="1" applyAlignment="1">
      <alignment horizontal="left" vertical="center"/>
    </xf>
    <xf numFmtId="179" fontId="36" fillId="0" borderId="3" xfId="0" applyNumberFormat="1" applyFont="1" applyBorder="1" applyAlignment="1">
      <alignment horizontal="left" vertical="center"/>
    </xf>
    <xf numFmtId="179" fontId="36" fillId="0" borderId="5" xfId="0" applyNumberFormat="1" applyFont="1" applyBorder="1" applyAlignment="1">
      <alignment horizontal="left" vertical="center"/>
    </xf>
    <xf numFmtId="179" fontId="36" fillId="0" borderId="4" xfId="0" applyNumberFormat="1" applyFont="1" applyBorder="1" applyAlignment="1">
      <alignment horizontal="left" vertical="center"/>
    </xf>
    <xf numFmtId="0" fontId="45" fillId="27" borderId="2" xfId="15" applyFont="1" applyFill="1" applyBorder="1" applyAlignment="1">
      <alignment horizontal="center"/>
    </xf>
    <xf numFmtId="0" fontId="45" fillId="27" borderId="2" xfId="15" applyFont="1" applyFill="1" applyBorder="1" applyAlignment="1">
      <alignment horizontal="center" vertical="center"/>
    </xf>
    <xf numFmtId="0" fontId="45" fillId="27" borderId="2" xfId="15" applyFont="1" applyFill="1" applyBorder="1" applyAlignment="1">
      <alignment horizontal="center" vertical="center" wrapText="1"/>
    </xf>
    <xf numFmtId="0" fontId="0" fillId="27" borderId="6" xfId="0" applyFill="1" applyBorder="1" applyAlignment="1">
      <alignment horizontal="center"/>
    </xf>
    <xf numFmtId="0" fontId="0" fillId="27" borderId="7" xfId="0" applyFill="1" applyBorder="1" applyAlignment="1">
      <alignment horizontal="center"/>
    </xf>
    <xf numFmtId="0" fontId="0" fillId="27" borderId="8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vertical="center"/>
    </xf>
    <xf numFmtId="181" fontId="0" fillId="0" borderId="0" xfId="0" applyNumberFormat="1" applyFill="1" applyAlignment="1">
      <alignment vertical="center"/>
    </xf>
    <xf numFmtId="49" fontId="21" fillId="39" borderId="1" xfId="0" applyNumberFormat="1" applyFont="1" applyFill="1" applyBorder="1" applyAlignment="1">
      <alignment vertical="center"/>
    </xf>
  </cellXfs>
  <cellStyles count="16">
    <cellStyle name="アクセント 3" xfId="1" builtinId="37"/>
    <cellStyle name="アクセント 5" xfId="2" builtinId="45"/>
    <cellStyle name="アクセント 6" xfId="3" builtinId="49"/>
    <cellStyle name="悪い" xfId="5" builtinId="27"/>
    <cellStyle name="悪い 2" xfId="14" xr:uid="{00000000-0005-0000-0000-000004000000}"/>
    <cellStyle name="桁区切り" xfId="4" builtinId="6"/>
    <cellStyle name="桁区切り 2" xfId="8" xr:uid="{00000000-0005-0000-0000-000006000000}"/>
    <cellStyle name="通貨" xfId="9" builtinId="7"/>
    <cellStyle name="通貨 2" xfId="12" xr:uid="{00000000-0005-0000-0000-000008000000}"/>
    <cellStyle name="標準" xfId="0" builtinId="0"/>
    <cellStyle name="標準 2" xfId="6" xr:uid="{00000000-0005-0000-0000-00000A000000}"/>
    <cellStyle name="標準 2 2" xfId="11" xr:uid="{00000000-0005-0000-0000-00000B000000}"/>
    <cellStyle name="標準 2 3" xfId="15" xr:uid="{F24F2FC2-1310-4E96-82EE-7447D9F20655}"/>
    <cellStyle name="標準 3" xfId="10" xr:uid="{00000000-0005-0000-0000-00000C000000}"/>
    <cellStyle name="標準 3 2" xfId="13" xr:uid="{00000000-0005-0000-0000-00000D000000}"/>
    <cellStyle name="標準 8_コピー ～ ■パンフレット・ツール 在庫管理 発注書_13年04月_120410_2" xfId="7" xr:uid="{00000000-0005-0000-0000-00000E000000}"/>
  </cellStyles>
  <dxfs count="148"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</dxfs>
  <tableStyles count="0" defaultTableStyle="TableStyleMedium2" defaultPivotStyle="PivotStyleLight16"/>
  <colors>
    <mruColors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104775</xdr:rowOff>
        </xdr:from>
        <xdr:to>
          <xdr:col>0</xdr:col>
          <xdr:colOff>1638300</xdr:colOff>
          <xdr:row>0</xdr:row>
          <xdr:rowOff>457200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w2pデータ取り込み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3038475</xdr:colOff>
          <xdr:row>0</xdr:row>
          <xdr:rowOff>95250</xdr:rowOff>
        </xdr:from>
        <xdr:to>
          <xdr:col>0</xdr:col>
          <xdr:colOff>4067175</xdr:colOff>
          <xdr:row>0</xdr:row>
          <xdr:rowOff>438150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拠点配送データ統合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1819275</xdr:colOff>
          <xdr:row>0</xdr:row>
          <xdr:rowOff>104775</xdr:rowOff>
        </xdr:from>
        <xdr:to>
          <xdr:col>0</xdr:col>
          <xdr:colOff>2847975</xdr:colOff>
          <xdr:row>0</xdr:row>
          <xdr:rowOff>447675</xdr:rowOff>
        </xdr:to>
        <xdr:sp macro="" textlink="">
          <xdr:nvSpPr>
            <xdr:cNvPr id="8202" name="Button 6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作業指示書作成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4219575</xdr:colOff>
          <xdr:row>0</xdr:row>
          <xdr:rowOff>114300</xdr:rowOff>
        </xdr:from>
        <xdr:to>
          <xdr:col>0</xdr:col>
          <xdr:colOff>5248275</xdr:colOff>
          <xdr:row>0</xdr:row>
          <xdr:rowOff>438150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新藤C用〆明細作成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104775</xdr:rowOff>
        </xdr:from>
        <xdr:to>
          <xdr:col>0</xdr:col>
          <xdr:colOff>1638300</xdr:colOff>
          <xdr:row>0</xdr:row>
          <xdr:rowOff>457200</xdr:rowOff>
        </xdr:to>
        <xdr:sp macro="" textlink="">
          <xdr:nvSpPr>
            <xdr:cNvPr id="8204" name="Button 6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w2pデータ取り込み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3038475</xdr:colOff>
          <xdr:row>0</xdr:row>
          <xdr:rowOff>95250</xdr:rowOff>
        </xdr:from>
        <xdr:to>
          <xdr:col>0</xdr:col>
          <xdr:colOff>4067175</xdr:colOff>
          <xdr:row>0</xdr:row>
          <xdr:rowOff>438150</xdr:rowOff>
        </xdr:to>
        <xdr:sp macro="" textlink="">
          <xdr:nvSpPr>
            <xdr:cNvPr id="8205" name="Button 9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拠点配送データ統合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1819275</xdr:colOff>
          <xdr:row>0</xdr:row>
          <xdr:rowOff>104775</xdr:rowOff>
        </xdr:from>
        <xdr:to>
          <xdr:col>0</xdr:col>
          <xdr:colOff>2847975</xdr:colOff>
          <xdr:row>0</xdr:row>
          <xdr:rowOff>447675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作業指示書作成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4219575</xdr:colOff>
          <xdr:row>0</xdr:row>
          <xdr:rowOff>114300</xdr:rowOff>
        </xdr:from>
        <xdr:to>
          <xdr:col>0</xdr:col>
          <xdr:colOff>5248275</xdr:colOff>
          <xdr:row>0</xdr:row>
          <xdr:rowOff>438150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新藤C用〆明細作成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104775</xdr:rowOff>
        </xdr:from>
        <xdr:to>
          <xdr:col>0</xdr:col>
          <xdr:colOff>1638300</xdr:colOff>
          <xdr:row>0</xdr:row>
          <xdr:rowOff>457200</xdr:rowOff>
        </xdr:to>
        <xdr:sp macro="" textlink="">
          <xdr:nvSpPr>
            <xdr:cNvPr id="8212" name="Button 6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w2pデータ取り込み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3038475</xdr:colOff>
          <xdr:row>0</xdr:row>
          <xdr:rowOff>95250</xdr:rowOff>
        </xdr:from>
        <xdr:to>
          <xdr:col>0</xdr:col>
          <xdr:colOff>4067175</xdr:colOff>
          <xdr:row>0</xdr:row>
          <xdr:rowOff>438150</xdr:rowOff>
        </xdr:to>
        <xdr:sp macro="" textlink="">
          <xdr:nvSpPr>
            <xdr:cNvPr id="8213" name="Button 9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拠点配送データ統合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1819275</xdr:colOff>
          <xdr:row>0</xdr:row>
          <xdr:rowOff>104775</xdr:rowOff>
        </xdr:from>
        <xdr:to>
          <xdr:col>0</xdr:col>
          <xdr:colOff>2847975</xdr:colOff>
          <xdr:row>0</xdr:row>
          <xdr:rowOff>447675</xdr:rowOff>
        </xdr:to>
        <xdr:sp macro="" textlink="">
          <xdr:nvSpPr>
            <xdr:cNvPr id="8214" name="Button 6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作業指示書作成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4219575</xdr:colOff>
          <xdr:row>0</xdr:row>
          <xdr:rowOff>114300</xdr:rowOff>
        </xdr:from>
        <xdr:to>
          <xdr:col>0</xdr:col>
          <xdr:colOff>5248275</xdr:colOff>
          <xdr:row>0</xdr:row>
          <xdr:rowOff>438150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新藤C用〆明細作成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0</xdr:row>
          <xdr:rowOff>104775</xdr:rowOff>
        </xdr:from>
        <xdr:to>
          <xdr:col>0</xdr:col>
          <xdr:colOff>1638300</xdr:colOff>
          <xdr:row>0</xdr:row>
          <xdr:rowOff>457200</xdr:rowOff>
        </xdr:to>
        <xdr:sp macro="" textlink="">
          <xdr:nvSpPr>
            <xdr:cNvPr id="8216" name="Button 6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3038475</xdr:colOff>
          <xdr:row>0</xdr:row>
          <xdr:rowOff>95250</xdr:rowOff>
        </xdr:from>
        <xdr:to>
          <xdr:col>0</xdr:col>
          <xdr:colOff>4067175</xdr:colOff>
          <xdr:row>0</xdr:row>
          <xdr:rowOff>438150</xdr:rowOff>
        </xdr:to>
        <xdr:sp macro="" textlink="">
          <xdr:nvSpPr>
            <xdr:cNvPr id="8217" name="Button 9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拠点配送データ統合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1819275</xdr:colOff>
          <xdr:row>0</xdr:row>
          <xdr:rowOff>104775</xdr:rowOff>
        </xdr:from>
        <xdr:to>
          <xdr:col>0</xdr:col>
          <xdr:colOff>2847975</xdr:colOff>
          <xdr:row>0</xdr:row>
          <xdr:rowOff>447675</xdr:rowOff>
        </xdr:to>
        <xdr:sp macro="" textlink="">
          <xdr:nvSpPr>
            <xdr:cNvPr id="8218" name="Button 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作業指示書作成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4219575</xdr:colOff>
          <xdr:row>0</xdr:row>
          <xdr:rowOff>114300</xdr:rowOff>
        </xdr:from>
        <xdr:to>
          <xdr:col>0</xdr:col>
          <xdr:colOff>5248275</xdr:colOff>
          <xdr:row>0</xdr:row>
          <xdr:rowOff>438150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新藤C用〆明細作成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214</xdr:row>
      <xdr:rowOff>0</xdr:rowOff>
    </xdr:from>
    <xdr:to>
      <xdr:col>12</xdr:col>
      <xdr:colOff>608684</xdr:colOff>
      <xdr:row>249</xdr:row>
      <xdr:rowOff>85048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33023175"/>
          <a:ext cx="7323809" cy="54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147</xdr:row>
      <xdr:rowOff>0</xdr:rowOff>
    </xdr:from>
    <xdr:to>
      <xdr:col>12</xdr:col>
      <xdr:colOff>618208</xdr:colOff>
      <xdr:row>180</xdr:row>
      <xdr:rowOff>8895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22431375"/>
          <a:ext cx="7333333" cy="5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106</xdr:row>
      <xdr:rowOff>0</xdr:rowOff>
    </xdr:from>
    <xdr:to>
      <xdr:col>12</xdr:col>
      <xdr:colOff>618208</xdr:colOff>
      <xdr:row>141</xdr:row>
      <xdr:rowOff>56476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7650" y="16182975"/>
          <a:ext cx="7333333" cy="53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95250</xdr:rowOff>
    </xdr:from>
    <xdr:to>
      <xdr:col>6</xdr:col>
      <xdr:colOff>57150</xdr:colOff>
      <xdr:row>15</xdr:row>
      <xdr:rowOff>95250</xdr:rowOff>
    </xdr:to>
    <xdr:pic>
      <xdr:nvPicPr>
        <xdr:cNvPr id="8290" name="Picture 3" descr="001">
          <a:extLst>
            <a:ext uri="{FF2B5EF4-FFF2-40B4-BE49-F238E27FC236}">
              <a16:creationId xmlns:a16="http://schemas.microsoft.com/office/drawing/2014/main" id="{00000000-0008-0000-0200-000062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581025"/>
          <a:ext cx="3009900" cy="1828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312</xdr:row>
      <xdr:rowOff>66675</xdr:rowOff>
    </xdr:from>
    <xdr:to>
      <xdr:col>10</xdr:col>
      <xdr:colOff>38100</xdr:colOff>
      <xdr:row>332</xdr:row>
      <xdr:rowOff>0</xdr:rowOff>
    </xdr:to>
    <xdr:pic>
      <xdr:nvPicPr>
        <xdr:cNvPr id="8298" name="Picture 11" descr="006">
          <a:extLst>
            <a:ext uri="{FF2B5EF4-FFF2-40B4-BE49-F238E27FC236}">
              <a16:creationId xmlns:a16="http://schemas.microsoft.com/office/drawing/2014/main" id="{00000000-0008-0000-0200-00006A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4384000"/>
          <a:ext cx="5715000" cy="2981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590550</xdr:colOff>
      <xdr:row>307</xdr:row>
      <xdr:rowOff>95250</xdr:rowOff>
    </xdr:from>
    <xdr:to>
      <xdr:col>11</xdr:col>
      <xdr:colOff>438150</xdr:colOff>
      <xdr:row>307</xdr:row>
      <xdr:rowOff>95250</xdr:rowOff>
    </xdr:to>
    <xdr:sp macro="" textlink="">
      <xdr:nvSpPr>
        <xdr:cNvPr id="8299" name="Line 12">
          <a:extLst>
            <a:ext uri="{FF2B5EF4-FFF2-40B4-BE49-F238E27FC236}">
              <a16:creationId xmlns:a16="http://schemas.microsoft.com/office/drawing/2014/main" id="{00000000-0008-0000-0200-00006B200000}"/>
            </a:ext>
          </a:extLst>
        </xdr:cNvPr>
        <xdr:cNvSpPr>
          <a:spLocks noChangeShapeType="1"/>
        </xdr:cNvSpPr>
      </xdr:nvSpPr>
      <xdr:spPr bwMode="auto">
        <a:xfrm>
          <a:off x="1733550" y="40890825"/>
          <a:ext cx="4981575" cy="0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47625</xdr:colOff>
      <xdr:row>307</xdr:row>
      <xdr:rowOff>95250</xdr:rowOff>
    </xdr:from>
    <xdr:to>
      <xdr:col>1</xdr:col>
      <xdr:colOff>0</xdr:colOff>
      <xdr:row>307</xdr:row>
      <xdr:rowOff>95250</xdr:rowOff>
    </xdr:to>
    <xdr:sp macro="" textlink="">
      <xdr:nvSpPr>
        <xdr:cNvPr id="8300" name="Line 13">
          <a:extLst>
            <a:ext uri="{FF2B5EF4-FFF2-40B4-BE49-F238E27FC236}">
              <a16:creationId xmlns:a16="http://schemas.microsoft.com/office/drawing/2014/main" id="{00000000-0008-0000-0200-00006C200000}"/>
            </a:ext>
          </a:extLst>
        </xdr:cNvPr>
        <xdr:cNvSpPr>
          <a:spLocks noChangeShapeType="1"/>
        </xdr:cNvSpPr>
      </xdr:nvSpPr>
      <xdr:spPr bwMode="auto">
        <a:xfrm>
          <a:off x="47625" y="23622000"/>
          <a:ext cx="200025" cy="0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7</xdr:col>
      <xdr:colOff>428117</xdr:colOff>
      <xdr:row>72</xdr:row>
      <xdr:rowOff>28362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8105775"/>
          <a:ext cx="4066667" cy="17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12</xdr:col>
      <xdr:colOff>599161</xdr:colOff>
      <xdr:row>102</xdr:row>
      <xdr:rowOff>132819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7650" y="10239375"/>
          <a:ext cx="7314286" cy="4247619"/>
        </a:xfrm>
        <a:prstGeom prst="rect">
          <a:avLst/>
        </a:prstGeom>
      </xdr:spPr>
    </xdr:pic>
    <xdr:clientData/>
  </xdr:twoCellAnchor>
  <xdr:twoCellAnchor>
    <xdr:from>
      <xdr:col>5</xdr:col>
      <xdr:colOff>533400</xdr:colOff>
      <xdr:row>218</xdr:row>
      <xdr:rowOff>76200</xdr:rowOff>
    </xdr:from>
    <xdr:to>
      <xdr:col>7</xdr:col>
      <xdr:colOff>133350</xdr:colOff>
      <xdr:row>221</xdr:row>
      <xdr:rowOff>9525</xdr:rowOff>
    </xdr:to>
    <xdr:sp macro="" textlink="">
      <xdr:nvSpPr>
        <xdr:cNvPr id="29" name="Rectangle 7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3048000" y="33708975"/>
          <a:ext cx="971550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15</xdr:col>
      <xdr:colOff>370332</xdr:colOff>
      <xdr:row>285</xdr:row>
      <xdr:rowOff>123181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7650" y="32794575"/>
          <a:ext cx="9142857" cy="5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184</xdr:row>
      <xdr:rowOff>0</xdr:rowOff>
    </xdr:from>
    <xdr:to>
      <xdr:col>3</xdr:col>
      <xdr:colOff>571317</xdr:colOff>
      <xdr:row>195</xdr:row>
      <xdr:rowOff>9314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7650" y="23345775"/>
          <a:ext cx="1466667" cy="16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289</xdr:row>
      <xdr:rowOff>0</xdr:rowOff>
    </xdr:from>
    <xdr:to>
      <xdr:col>5</xdr:col>
      <xdr:colOff>180669</xdr:colOff>
      <xdr:row>300</xdr:row>
      <xdr:rowOff>18838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7650" y="38738175"/>
          <a:ext cx="2447619" cy="1695238"/>
        </a:xfrm>
        <a:prstGeom prst="rect">
          <a:avLst/>
        </a:prstGeom>
      </xdr:spPr>
    </xdr:pic>
    <xdr:clientData/>
  </xdr:twoCellAnchor>
  <xdr:twoCellAnchor>
    <xdr:from>
      <xdr:col>4</xdr:col>
      <xdr:colOff>476250</xdr:colOff>
      <xdr:row>68</xdr:row>
      <xdr:rowOff>76200</xdr:rowOff>
    </xdr:from>
    <xdr:to>
      <xdr:col>6</xdr:col>
      <xdr:colOff>123825</xdr:colOff>
      <xdr:row>71</xdr:row>
      <xdr:rowOff>9525</xdr:rowOff>
    </xdr:to>
    <xdr:sp macro="" textlink="">
      <xdr:nvSpPr>
        <xdr:cNvPr id="36" name="Rectangle 7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2305050" y="9705975"/>
          <a:ext cx="1019175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152400</xdr:colOff>
      <xdr:row>99</xdr:row>
      <xdr:rowOff>38100</xdr:rowOff>
    </xdr:from>
    <xdr:to>
      <xdr:col>11</xdr:col>
      <xdr:colOff>152400</xdr:colOff>
      <xdr:row>101</xdr:row>
      <xdr:rowOff>123825</xdr:rowOff>
    </xdr:to>
    <xdr:sp macro="" textlink="">
      <xdr:nvSpPr>
        <xdr:cNvPr id="37" name="Rectangle 7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5410200" y="14392275"/>
          <a:ext cx="1019175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9</xdr:col>
      <xdr:colOff>647701</xdr:colOff>
      <xdr:row>133</xdr:row>
      <xdr:rowOff>9525</xdr:rowOff>
    </xdr:from>
    <xdr:to>
      <xdr:col>11</xdr:col>
      <xdr:colOff>561976</xdr:colOff>
      <xdr:row>135</xdr:row>
      <xdr:rowOff>95250</xdr:rowOff>
    </xdr:to>
    <xdr:sp macro="" textlink="">
      <xdr:nvSpPr>
        <xdr:cNvPr id="38" name="Rectangle 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5905501" y="20307300"/>
          <a:ext cx="933450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361950</xdr:colOff>
      <xdr:row>282</xdr:row>
      <xdr:rowOff>38100</xdr:rowOff>
    </xdr:from>
    <xdr:to>
      <xdr:col>13</xdr:col>
      <xdr:colOff>581025</xdr:colOff>
      <xdr:row>284</xdr:row>
      <xdr:rowOff>123825</xdr:rowOff>
    </xdr:to>
    <xdr:sp macro="" textlink="">
      <xdr:nvSpPr>
        <xdr:cNvPr id="40" name="Rectangle 7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rrowheads="1"/>
        </xdr:cNvSpPr>
      </xdr:nvSpPr>
      <xdr:spPr bwMode="auto">
        <a:xfrm>
          <a:off x="7324725" y="36109275"/>
          <a:ext cx="904875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476249</xdr:colOff>
      <xdr:row>296</xdr:row>
      <xdr:rowOff>47625</xdr:rowOff>
    </xdr:from>
    <xdr:to>
      <xdr:col>5</xdr:col>
      <xdr:colOff>66674</xdr:colOff>
      <xdr:row>299</xdr:row>
      <xdr:rowOff>19050</xdr:rowOff>
    </xdr:to>
    <xdr:sp macro="" textlink="">
      <xdr:nvSpPr>
        <xdr:cNvPr id="41" name="Rectangle 7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rrowheads="1"/>
        </xdr:cNvSpPr>
      </xdr:nvSpPr>
      <xdr:spPr bwMode="auto">
        <a:xfrm>
          <a:off x="1619249" y="38252400"/>
          <a:ext cx="962025" cy="4286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oneCell">
    <xdr:from>
      <xdr:col>1</xdr:col>
      <xdr:colOff>19050</xdr:colOff>
      <xdr:row>200</xdr:row>
      <xdr:rowOff>47625</xdr:rowOff>
    </xdr:from>
    <xdr:to>
      <xdr:col>1</xdr:col>
      <xdr:colOff>161907</xdr:colOff>
      <xdr:row>200</xdr:row>
      <xdr:rowOff>200006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6700" y="23393400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202</xdr:row>
      <xdr:rowOff>28575</xdr:rowOff>
    </xdr:from>
    <xdr:to>
      <xdr:col>1</xdr:col>
      <xdr:colOff>190479</xdr:colOff>
      <xdr:row>202</xdr:row>
      <xdr:rowOff>200004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6700" y="23774400"/>
          <a:ext cx="171429" cy="1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203</xdr:row>
      <xdr:rowOff>57150</xdr:rowOff>
    </xdr:from>
    <xdr:to>
      <xdr:col>1</xdr:col>
      <xdr:colOff>161907</xdr:colOff>
      <xdr:row>204</xdr:row>
      <xdr:rowOff>9506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6700" y="24003000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201</xdr:row>
      <xdr:rowOff>28575</xdr:rowOff>
    </xdr:from>
    <xdr:to>
      <xdr:col>1</xdr:col>
      <xdr:colOff>447655</xdr:colOff>
      <xdr:row>201</xdr:row>
      <xdr:rowOff>190480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33400" y="23574375"/>
          <a:ext cx="161905" cy="1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204</xdr:row>
      <xdr:rowOff>47625</xdr:rowOff>
    </xdr:from>
    <xdr:to>
      <xdr:col>1</xdr:col>
      <xdr:colOff>419082</xdr:colOff>
      <xdr:row>204</xdr:row>
      <xdr:rowOff>200006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23875" y="24193500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205</xdr:row>
      <xdr:rowOff>47625</xdr:rowOff>
    </xdr:from>
    <xdr:to>
      <xdr:col>1</xdr:col>
      <xdr:colOff>419082</xdr:colOff>
      <xdr:row>205</xdr:row>
      <xdr:rowOff>200006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23875" y="24393525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206</xdr:row>
      <xdr:rowOff>38100</xdr:rowOff>
    </xdr:from>
    <xdr:to>
      <xdr:col>1</xdr:col>
      <xdr:colOff>419082</xdr:colOff>
      <xdr:row>206</xdr:row>
      <xdr:rowOff>190481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3875" y="24584025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207</xdr:row>
      <xdr:rowOff>57150</xdr:rowOff>
    </xdr:from>
    <xdr:to>
      <xdr:col>2</xdr:col>
      <xdr:colOff>428607</xdr:colOff>
      <xdr:row>208</xdr:row>
      <xdr:rowOff>9506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81075" y="24803100"/>
          <a:ext cx="142857" cy="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161905</xdr:colOff>
      <xdr:row>304</xdr:row>
      <xdr:rowOff>9505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7650" y="39271575"/>
          <a:ext cx="161905" cy="161905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304</xdr:row>
      <xdr:rowOff>0</xdr:rowOff>
    </xdr:from>
    <xdr:ext cx="161905" cy="161905"/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7650" y="39271575"/>
          <a:ext cx="161905" cy="161905"/>
        </a:xfrm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21</xdr:row>
      <xdr:rowOff>0</xdr:rowOff>
    </xdr:from>
    <xdr:to>
      <xdr:col>13</xdr:col>
      <xdr:colOff>618123</xdr:colOff>
      <xdr:row>57</xdr:row>
      <xdr:rowOff>8838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7650" y="3228975"/>
          <a:ext cx="8019048" cy="5495238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22</xdr:row>
      <xdr:rowOff>95250</xdr:rowOff>
    </xdr:from>
    <xdr:to>
      <xdr:col>4</xdr:col>
      <xdr:colOff>142875</xdr:colOff>
      <xdr:row>25</xdr:row>
      <xdr:rowOff>28575</xdr:rowOff>
    </xdr:to>
    <xdr:sp macro="" textlink="">
      <xdr:nvSpPr>
        <xdr:cNvPr id="33" name="Rectangle 7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952500" y="3476625"/>
          <a:ext cx="1019175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171450</xdr:colOff>
      <xdr:row>148</xdr:row>
      <xdr:rowOff>142875</xdr:rowOff>
    </xdr:from>
    <xdr:to>
      <xdr:col>5</xdr:col>
      <xdr:colOff>504825</xdr:colOff>
      <xdr:row>151</xdr:row>
      <xdr:rowOff>76200</xdr:rowOff>
    </xdr:to>
    <xdr:sp macro="" textlink="">
      <xdr:nvSpPr>
        <xdr:cNvPr id="39" name="Rectangle 7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rrowheads="1"/>
        </xdr:cNvSpPr>
      </xdr:nvSpPr>
      <xdr:spPr bwMode="auto">
        <a:xfrm>
          <a:off x="2000250" y="22726650"/>
          <a:ext cx="1019175" cy="390525"/>
        </a:xfrm>
        <a:prstGeom prst="rect">
          <a:avLst/>
        </a:prstGeom>
        <a:noFill/>
        <a:ln w="317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V352"/>
  <sheetViews>
    <sheetView tabSelected="1" zoomScaleNormal="100" workbookViewId="0"/>
  </sheetViews>
  <sheetFormatPr defaultColWidth="9" defaultRowHeight="13.5" x14ac:dyDescent="0.15"/>
  <cols>
    <col min="1" max="1" width="72.375" customWidth="1"/>
    <col min="2" max="2" width="18.875" bestFit="1" customWidth="1"/>
    <col min="3" max="3" width="9" style="194" bestFit="1" customWidth="1"/>
    <col min="4" max="4" width="17" customWidth="1"/>
    <col min="5" max="5" width="20" bestFit="1" customWidth="1"/>
    <col min="6" max="6" width="7" bestFit="1" customWidth="1"/>
    <col min="7" max="7" width="14.875" customWidth="1"/>
    <col min="8" max="8" width="26.625" customWidth="1"/>
    <col min="9" max="9" width="14.875" bestFit="1" customWidth="1"/>
    <col min="10" max="10" width="11.75" bestFit="1" customWidth="1"/>
    <col min="11" max="11" width="15.5" customWidth="1"/>
    <col min="12" max="12" width="28" customWidth="1"/>
    <col min="13" max="14" width="11.25" bestFit="1" customWidth="1"/>
    <col min="15" max="15" width="28" bestFit="1" customWidth="1"/>
    <col min="16" max="16" width="14.75" style="63" customWidth="1"/>
    <col min="17" max="17" width="13.875" style="63" bestFit="1" customWidth="1"/>
    <col min="18" max="18" width="6.5" customWidth="1"/>
    <col min="19" max="19" width="15.125" bestFit="1" customWidth="1"/>
    <col min="20" max="20" width="22" style="63" customWidth="1"/>
    <col min="21" max="21" width="28.375" customWidth="1"/>
    <col min="22" max="22" width="7" customWidth="1"/>
    <col min="23" max="23" width="9.5" customWidth="1"/>
    <col min="24" max="24" width="8" customWidth="1"/>
    <col min="25" max="25" width="27.375" customWidth="1"/>
    <col min="26" max="26" width="11.375" customWidth="1"/>
    <col min="27" max="27" width="16.25" customWidth="1"/>
    <col min="28" max="28" width="26.75" customWidth="1"/>
    <col min="29" max="29" width="18.25" bestFit="1" customWidth="1"/>
    <col min="30" max="30" width="18.375" customWidth="1"/>
    <col min="31" max="31" width="11.75" customWidth="1"/>
    <col min="32" max="32" width="14.75" style="63" customWidth="1"/>
    <col min="33" max="33" width="13.25" style="63" bestFit="1" customWidth="1"/>
    <col min="34" max="34" width="10.375" style="63" bestFit="1" customWidth="1"/>
    <col min="35" max="35" width="18.625" style="53" bestFit="1" customWidth="1"/>
    <col min="36" max="36" width="19" style="53" bestFit="1" customWidth="1"/>
    <col min="37" max="37" width="9" style="197"/>
  </cols>
  <sheetData>
    <row r="1" spans="1:100" ht="45" customHeight="1" x14ac:dyDescent="0.35">
      <c r="A1" s="186" t="s">
        <v>436</v>
      </c>
      <c r="B1" s="186" t="s">
        <v>161</v>
      </c>
      <c r="C1" s="192" t="s">
        <v>437</v>
      </c>
      <c r="D1" s="186" t="s">
        <v>438</v>
      </c>
      <c r="E1" s="186" t="s">
        <v>439</v>
      </c>
      <c r="F1" s="186" t="s">
        <v>440</v>
      </c>
      <c r="G1" s="186" t="s">
        <v>441</v>
      </c>
      <c r="H1" s="186" t="s">
        <v>162</v>
      </c>
      <c r="I1" s="186" t="s">
        <v>442</v>
      </c>
      <c r="J1" s="187" t="s">
        <v>443</v>
      </c>
      <c r="K1" s="186" t="s">
        <v>444</v>
      </c>
      <c r="L1" s="186" t="s">
        <v>163</v>
      </c>
      <c r="M1" s="186" t="s">
        <v>164</v>
      </c>
      <c r="N1" s="186" t="s">
        <v>165</v>
      </c>
      <c r="O1" s="186" t="s">
        <v>166</v>
      </c>
      <c r="P1" s="187" t="s">
        <v>167</v>
      </c>
      <c r="Q1" s="187" t="s">
        <v>168</v>
      </c>
      <c r="R1" s="186" t="s">
        <v>169</v>
      </c>
      <c r="S1" s="186" t="s">
        <v>445</v>
      </c>
      <c r="T1" s="187" t="s">
        <v>17</v>
      </c>
      <c r="U1" s="186" t="s">
        <v>18</v>
      </c>
      <c r="V1" s="186" t="s">
        <v>170</v>
      </c>
      <c r="W1" s="186" t="s">
        <v>447</v>
      </c>
      <c r="X1" s="186" t="s">
        <v>448</v>
      </c>
      <c r="Y1" s="186" t="s">
        <v>452</v>
      </c>
      <c r="Z1" s="186" t="s">
        <v>453</v>
      </c>
      <c r="AA1" s="186" t="s">
        <v>454</v>
      </c>
      <c r="AB1" s="186" t="s">
        <v>455</v>
      </c>
      <c r="AC1" s="186" t="s">
        <v>456</v>
      </c>
      <c r="AD1" s="186" t="s">
        <v>457</v>
      </c>
      <c r="AE1" s="186" t="s">
        <v>458</v>
      </c>
      <c r="AF1" s="234" t="s">
        <v>171</v>
      </c>
      <c r="AG1" s="234" t="s">
        <v>1579</v>
      </c>
      <c r="AH1" s="234" t="s">
        <v>1580</v>
      </c>
      <c r="AI1" s="214" t="s">
        <v>1587</v>
      </c>
      <c r="AJ1" s="214" t="s">
        <v>1588</v>
      </c>
      <c r="AK1" s="215" t="s">
        <v>378</v>
      </c>
      <c r="AL1" s="214" t="s">
        <v>379</v>
      </c>
      <c r="AM1" s="214" t="s">
        <v>1649</v>
      </c>
    </row>
    <row r="2" spans="1:100" ht="14.1" customHeight="1" x14ac:dyDescent="0.15">
      <c r="A2" s="185" t="s">
        <v>1589</v>
      </c>
      <c r="B2" s="185" t="s">
        <v>1590</v>
      </c>
      <c r="C2" s="195">
        <v>3</v>
      </c>
      <c r="D2" s="188">
        <v>45929.768055555556</v>
      </c>
      <c r="E2" s="185" t="s">
        <v>1591</v>
      </c>
      <c r="F2" s="185" t="s">
        <v>1592</v>
      </c>
      <c r="G2" s="185">
        <v>1</v>
      </c>
      <c r="H2" s="185" t="s">
        <v>1593</v>
      </c>
      <c r="I2" s="185" t="s">
        <v>1628</v>
      </c>
      <c r="J2" s="185" t="s">
        <v>1629</v>
      </c>
      <c r="K2" s="185"/>
      <c r="L2" s="185" t="s">
        <v>1591</v>
      </c>
      <c r="M2" s="185" t="s">
        <v>1594</v>
      </c>
      <c r="N2" s="185" t="s">
        <v>426</v>
      </c>
      <c r="O2" s="185" t="s">
        <v>1631</v>
      </c>
      <c r="P2" s="189" t="s">
        <v>1632</v>
      </c>
      <c r="Q2" s="185" t="s">
        <v>1595</v>
      </c>
      <c r="R2" s="185"/>
      <c r="S2" s="185" t="s">
        <v>1596</v>
      </c>
      <c r="T2" s="185" t="s">
        <v>1597</v>
      </c>
      <c r="U2" s="185" t="s">
        <v>1598</v>
      </c>
      <c r="V2" s="185">
        <v>1</v>
      </c>
      <c r="W2" s="185"/>
      <c r="X2" s="185"/>
      <c r="Y2" s="185"/>
      <c r="Z2" s="185"/>
      <c r="AA2" s="185"/>
      <c r="AB2" s="185"/>
      <c r="AC2" s="185"/>
      <c r="AD2" s="185"/>
      <c r="AE2" s="185"/>
      <c r="AF2" s="185">
        <v>20260120</v>
      </c>
      <c r="AG2" s="185"/>
      <c r="AH2" s="185">
        <v>20260119</v>
      </c>
      <c r="AI2" s="232" t="str">
        <f>_xlfn.IFNA(IF(INDEX(製品仕様マスタ!C:C,MATCH(W2Pデータ貼り付け!T2,製品仕様マスタ!B:B,0))=0,"",INDEX(製品仕様マスタ!C:C,MATCH(W2Pデータ貼り付け!T2,製品仕様マスタ!B:B,0))),"")</f>
        <v/>
      </c>
      <c r="AJ2" s="232" t="str">
        <f>_xlfn.IFNA(IF(INDEX(製品仕様マスタ!AK:AK,MATCH(W2Pデータ貼り付け!T2,製品仕様マスタ!B:B,0))=0,"",INDEX(製品仕様マスタ!AK:AK,MATCH(W2Pデータ貼り付け!T2,製品仕様マスタ!B:B,0))),"")</f>
        <v/>
      </c>
      <c r="AK2" s="233" t="str">
        <f>_xlfn.IFNA(IF(INDEX(製品仕様マスタ!AY:AY,MATCH(W2Pデータ貼り付け!T2,製品仕様マスタ!B:B,0))=0,"",IF(INDEX(製品仕様マスタ!AY:AY,MATCH(W2Pデータ貼り付け!T2,製品仕様マスタ!B:B,0)) &lt;&gt; "-",INDEX(製品仕様マスタ!AY:AY,MATCH(W2Pデータ貼り付け!T2,製品仕様マスタ!B:B,0)),INDEX(製品仕様マスタ!AZ$1:BZ$500,MATCH(W2Pデータ貼り付け!T2,製品仕様マスタ!B:B,0),MATCH(W2Pデータ貼り付け!V2,製品仕様マスタ!AZ$1:BZ$1,0)))),"")</f>
        <v/>
      </c>
      <c r="AL2" s="232" t="str">
        <f t="shared" ref="AL2:AL65" si="0">IFERROR(V2*AK2,"")</f>
        <v/>
      </c>
      <c r="AM2" s="232" t="str">
        <f>IF(AF2&lt;&gt;"",IF(ISNUMBER(T2),1,""),"")</f>
        <v/>
      </c>
      <c r="AN2" s="231"/>
      <c r="AO2" s="231"/>
      <c r="AP2" s="231"/>
      <c r="AQ2" s="231"/>
      <c r="AR2" s="231"/>
      <c r="AS2" s="231"/>
      <c r="AT2" s="231"/>
      <c r="AU2" s="231"/>
      <c r="AV2" s="231"/>
      <c r="AW2" s="231"/>
      <c r="AX2" s="231"/>
      <c r="AY2" s="231"/>
      <c r="AZ2" s="231"/>
      <c r="BA2" s="231"/>
      <c r="BB2" s="231"/>
      <c r="BC2" s="231"/>
      <c r="BD2" s="231"/>
      <c r="BE2" s="231"/>
      <c r="BF2" s="231"/>
      <c r="BG2" s="231"/>
      <c r="BH2" s="231"/>
      <c r="BI2" s="231"/>
      <c r="BJ2" s="231"/>
      <c r="BK2" s="231"/>
      <c r="BL2" s="231"/>
      <c r="BM2" s="231"/>
      <c r="BN2" s="231"/>
      <c r="BO2" s="231"/>
      <c r="BP2" s="231"/>
      <c r="BQ2" s="231"/>
      <c r="BR2" s="231"/>
      <c r="BS2" s="231"/>
      <c r="BT2" s="231"/>
      <c r="BU2" s="231"/>
      <c r="BV2" s="231"/>
      <c r="BW2" s="231"/>
      <c r="BX2" s="231"/>
      <c r="BY2" s="231"/>
      <c r="BZ2" s="231"/>
      <c r="CA2" s="231"/>
      <c r="CB2" s="231"/>
      <c r="CC2" s="231"/>
      <c r="CD2" s="231"/>
      <c r="CE2" s="231"/>
      <c r="CF2" s="231"/>
      <c r="CG2" s="231"/>
      <c r="CH2" s="231"/>
      <c r="CI2" s="231"/>
      <c r="CJ2" s="231"/>
      <c r="CK2" s="231"/>
      <c r="CL2" s="231"/>
      <c r="CM2" s="231"/>
      <c r="CN2" s="231"/>
      <c r="CO2" s="231"/>
      <c r="CP2" s="231"/>
      <c r="CQ2" s="231"/>
      <c r="CR2" s="231"/>
      <c r="CS2" s="231"/>
      <c r="CT2" s="231"/>
      <c r="CU2" s="231"/>
      <c r="CV2" s="231"/>
    </row>
    <row r="3" spans="1:100" ht="14.1" customHeight="1" x14ac:dyDescent="0.15">
      <c r="A3" s="174" t="s">
        <v>1599</v>
      </c>
      <c r="B3" s="174" t="s">
        <v>1600</v>
      </c>
      <c r="C3" s="193">
        <v>4</v>
      </c>
      <c r="D3" s="175">
        <v>45929.770833333336</v>
      </c>
      <c r="E3" s="174" t="s">
        <v>1591</v>
      </c>
      <c r="F3" s="174" t="s">
        <v>1592</v>
      </c>
      <c r="G3" s="174">
        <v>1</v>
      </c>
      <c r="H3" s="174" t="s">
        <v>1593</v>
      </c>
      <c r="I3" s="174" t="s">
        <v>1628</v>
      </c>
      <c r="J3" s="174" t="s">
        <v>1629</v>
      </c>
      <c r="K3" s="174"/>
      <c r="L3" s="174" t="s">
        <v>1591</v>
      </c>
      <c r="M3" s="174" t="s">
        <v>1594</v>
      </c>
      <c r="N3" s="174" t="s">
        <v>426</v>
      </c>
      <c r="O3" s="174" t="s">
        <v>1631</v>
      </c>
      <c r="P3" s="176" t="s">
        <v>1632</v>
      </c>
      <c r="Q3" s="174" t="s">
        <v>1595</v>
      </c>
      <c r="R3" s="174"/>
      <c r="S3" s="174" t="s">
        <v>1596</v>
      </c>
      <c r="T3" s="174" t="s">
        <v>1581</v>
      </c>
      <c r="U3" s="174" t="s">
        <v>1601</v>
      </c>
      <c r="V3" s="174">
        <v>1</v>
      </c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232" t="str">
        <f>_xlfn.IFNA(IF(INDEX(製品仕様マスタ!C:C,MATCH(W2Pデータ貼り付け!T3,製品仕様マスタ!B:B,0))=0,"",INDEX(製品仕様マスタ!C:C,MATCH(W2Pデータ貼り付け!T3,製品仕様マスタ!B:B,0))),"")</f>
        <v/>
      </c>
      <c r="AJ3" s="232" t="str">
        <f>_xlfn.IFNA(IF(INDEX(製品仕様マスタ!AK:AK,MATCH(W2Pデータ貼り付け!T3,製品仕様マスタ!B:B,0))=0,"",INDEX(製品仕様マスタ!AK:AK,MATCH(W2Pデータ貼り付け!T3,製品仕様マスタ!B:B,0))),"")</f>
        <v/>
      </c>
      <c r="AK3" s="233" t="str">
        <f>_xlfn.IFNA(IF(INDEX(製品仕様マスタ!AY:AY,MATCH(W2Pデータ貼り付け!T3,製品仕様マスタ!B:B,0))=0,"",IF(INDEX(製品仕様マスタ!AY:AY,MATCH(W2Pデータ貼り付け!T3,製品仕様マスタ!B:B,0)) &lt;&gt; "-",INDEX(製品仕様マスタ!AY:AY,MATCH(W2Pデータ貼り付け!T3,製品仕様マスタ!B:B,0)),INDEX(製品仕様マスタ!AZ$1:BZ$500,MATCH(W2Pデータ貼り付け!T3,製品仕様マスタ!B:B,0),MATCH(W2Pデータ貼り付け!V3,製品仕様マスタ!AZ$1:BZ$1,0)))),"")</f>
        <v/>
      </c>
      <c r="AL3" s="232" t="str">
        <f t="shared" si="0"/>
        <v/>
      </c>
      <c r="AM3" s="232" t="str">
        <f>IF(AF3&lt;&gt;"",IF(ISNUMBER(T3),COUNT(AM$2:AM2)+1,""),"")</f>
        <v/>
      </c>
      <c r="AN3" s="231"/>
      <c r="AO3" s="231"/>
      <c r="AP3" s="231"/>
      <c r="AQ3" s="231"/>
      <c r="AR3" s="231"/>
      <c r="AS3" s="231"/>
      <c r="AT3" s="231"/>
      <c r="AU3" s="231"/>
      <c r="AV3" s="231"/>
      <c r="AW3" s="231"/>
      <c r="AX3" s="231"/>
      <c r="AY3" s="231"/>
      <c r="AZ3" s="231"/>
      <c r="BA3" s="231"/>
      <c r="BB3" s="231"/>
      <c r="BC3" s="231"/>
      <c r="BD3" s="231"/>
      <c r="BE3" s="231"/>
      <c r="BF3" s="231"/>
      <c r="BG3" s="231"/>
      <c r="BH3" s="231"/>
      <c r="BI3" s="231"/>
      <c r="BJ3" s="231"/>
      <c r="BK3" s="231"/>
      <c r="BL3" s="231"/>
      <c r="BM3" s="231"/>
      <c r="BN3" s="231"/>
      <c r="BO3" s="231"/>
      <c r="BP3" s="231"/>
      <c r="BQ3" s="231"/>
      <c r="BR3" s="231"/>
      <c r="BS3" s="231"/>
      <c r="BT3" s="231"/>
      <c r="BU3" s="231"/>
      <c r="BV3" s="231"/>
      <c r="BW3" s="231"/>
      <c r="BX3" s="231"/>
      <c r="BY3" s="231"/>
      <c r="BZ3" s="231"/>
      <c r="CA3" s="231"/>
      <c r="CB3" s="231"/>
      <c r="CC3" s="231"/>
      <c r="CD3" s="231"/>
      <c r="CE3" s="231"/>
      <c r="CF3" s="231"/>
      <c r="CG3" s="231"/>
      <c r="CH3" s="231"/>
      <c r="CI3" s="231"/>
      <c r="CJ3" s="231"/>
      <c r="CK3" s="231"/>
      <c r="CL3" s="231"/>
      <c r="CM3" s="231"/>
      <c r="CN3" s="231"/>
      <c r="CO3" s="231"/>
      <c r="CP3" s="231"/>
      <c r="CQ3" s="231"/>
      <c r="CR3" s="231"/>
      <c r="CS3" s="231"/>
      <c r="CT3" s="231"/>
      <c r="CU3" s="231"/>
      <c r="CV3" s="231"/>
    </row>
    <row r="4" spans="1:100" ht="14.1" customHeight="1" x14ac:dyDescent="0.15">
      <c r="A4" s="174" t="s">
        <v>1589</v>
      </c>
      <c r="B4" s="174" t="s">
        <v>1600</v>
      </c>
      <c r="C4" s="193">
        <v>4</v>
      </c>
      <c r="D4" s="175">
        <v>45929.770833333336</v>
      </c>
      <c r="E4" s="174" t="s">
        <v>1591</v>
      </c>
      <c r="F4" s="174" t="s">
        <v>1592</v>
      </c>
      <c r="G4" s="174">
        <v>1</v>
      </c>
      <c r="H4" s="174" t="s">
        <v>1593</v>
      </c>
      <c r="I4" s="174" t="s">
        <v>1628</v>
      </c>
      <c r="J4" s="174" t="s">
        <v>1629</v>
      </c>
      <c r="K4" s="174"/>
      <c r="L4" s="174" t="s">
        <v>1591</v>
      </c>
      <c r="M4" s="174" t="s">
        <v>1594</v>
      </c>
      <c r="N4" s="174" t="s">
        <v>426</v>
      </c>
      <c r="O4" s="174" t="s">
        <v>1631</v>
      </c>
      <c r="P4" s="176" t="s">
        <v>1632</v>
      </c>
      <c r="Q4" s="174" t="s">
        <v>1595</v>
      </c>
      <c r="R4" s="174"/>
      <c r="S4" s="174" t="s">
        <v>1596</v>
      </c>
      <c r="T4" s="174" t="s">
        <v>1602</v>
      </c>
      <c r="U4" s="174" t="s">
        <v>1603</v>
      </c>
      <c r="V4" s="174">
        <v>1</v>
      </c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232" t="str">
        <f>_xlfn.IFNA(IF(INDEX(製品仕様マスタ!C:C,MATCH(W2Pデータ貼り付け!T4,製品仕様マスタ!B:B,0))=0,"",INDEX(製品仕様マスタ!C:C,MATCH(W2Pデータ貼り付け!T4,製品仕様マスタ!B:B,0))),"")</f>
        <v/>
      </c>
      <c r="AJ4" s="232" t="str">
        <f>_xlfn.IFNA(IF(INDEX(製品仕様マスタ!AK:AK,MATCH(W2Pデータ貼り付け!T4,製品仕様マスタ!B:B,0))=0,"",INDEX(製品仕様マスタ!AK:AK,MATCH(W2Pデータ貼り付け!T4,製品仕様マスタ!B:B,0))),"")</f>
        <v/>
      </c>
      <c r="AK4" s="233" t="str">
        <f>_xlfn.IFNA(IF(INDEX(製品仕様マスタ!AY:AY,MATCH(W2Pデータ貼り付け!T4,製品仕様マスタ!B:B,0))=0,"",IF(INDEX(製品仕様マスタ!AY:AY,MATCH(W2Pデータ貼り付け!T4,製品仕様マスタ!B:B,0)) &lt;&gt; "-",INDEX(製品仕様マスタ!AY:AY,MATCH(W2Pデータ貼り付け!T4,製品仕様マスタ!B:B,0)),INDEX(製品仕様マスタ!AZ$1:BZ$500,MATCH(W2Pデータ貼り付け!T4,製品仕様マスタ!B:B,0),MATCH(W2Pデータ貼り付け!V4,製品仕様マスタ!AZ$1:BZ$1,0)))),"")</f>
        <v/>
      </c>
      <c r="AL4" s="232" t="str">
        <f t="shared" si="0"/>
        <v/>
      </c>
      <c r="AM4" s="232" t="str">
        <f>IF(AF4&lt;&gt;"",IF(ISNUMBER(T4),COUNT(AM$2:AM3)+1,""),"")</f>
        <v/>
      </c>
      <c r="AN4" s="231"/>
      <c r="AO4" s="231"/>
      <c r="AP4" s="231"/>
      <c r="AQ4" s="231"/>
      <c r="AR4" s="231"/>
      <c r="AS4" s="231"/>
      <c r="AT4" s="231"/>
      <c r="AU4" s="231"/>
      <c r="AV4" s="231"/>
      <c r="AW4" s="231"/>
      <c r="AX4" s="231"/>
      <c r="AY4" s="231"/>
      <c r="AZ4" s="231"/>
      <c r="BA4" s="231"/>
      <c r="BB4" s="231"/>
      <c r="BC4" s="231"/>
      <c r="BD4" s="231"/>
      <c r="BE4" s="231"/>
      <c r="BF4" s="231"/>
      <c r="BG4" s="231"/>
      <c r="BH4" s="231"/>
      <c r="BI4" s="231"/>
      <c r="BJ4" s="231"/>
      <c r="BK4" s="231"/>
      <c r="BL4" s="231"/>
      <c r="BM4" s="231"/>
      <c r="BN4" s="231"/>
      <c r="BO4" s="231"/>
      <c r="BP4" s="231"/>
      <c r="BQ4" s="231"/>
      <c r="BR4" s="231"/>
      <c r="BS4" s="231"/>
      <c r="BT4" s="231"/>
      <c r="BU4" s="231"/>
      <c r="BV4" s="231"/>
      <c r="BW4" s="231"/>
      <c r="BX4" s="231"/>
      <c r="BY4" s="231"/>
      <c r="BZ4" s="231"/>
      <c r="CA4" s="231"/>
      <c r="CB4" s="231"/>
      <c r="CC4" s="231"/>
      <c r="CD4" s="231"/>
      <c r="CE4" s="231"/>
      <c r="CF4" s="231"/>
      <c r="CG4" s="231"/>
      <c r="CH4" s="231"/>
      <c r="CI4" s="231"/>
      <c r="CJ4" s="231"/>
      <c r="CK4" s="231"/>
      <c r="CL4" s="231"/>
      <c r="CM4" s="231"/>
      <c r="CN4" s="231"/>
      <c r="CO4" s="231"/>
      <c r="CP4" s="231"/>
      <c r="CQ4" s="231"/>
      <c r="CR4" s="231"/>
      <c r="CS4" s="231"/>
      <c r="CT4" s="231"/>
      <c r="CU4" s="231"/>
      <c r="CV4" s="231"/>
    </row>
    <row r="5" spans="1:100" ht="14.1" customHeight="1" x14ac:dyDescent="0.15">
      <c r="A5" s="174" t="s">
        <v>1599</v>
      </c>
      <c r="B5" s="174" t="s">
        <v>1604</v>
      </c>
      <c r="C5" s="193">
        <v>9</v>
      </c>
      <c r="D5" s="175">
        <v>45952.595833333333</v>
      </c>
      <c r="E5" s="174" t="s">
        <v>1605</v>
      </c>
      <c r="F5" s="174" t="s">
        <v>1592</v>
      </c>
      <c r="G5" s="174">
        <v>2</v>
      </c>
      <c r="H5" s="174" t="s">
        <v>1606</v>
      </c>
      <c r="I5" s="174" t="s">
        <v>1630</v>
      </c>
      <c r="J5" s="174" t="s">
        <v>1629</v>
      </c>
      <c r="K5" s="174"/>
      <c r="L5" s="174" t="s">
        <v>1605</v>
      </c>
      <c r="M5" s="174" t="s">
        <v>1607</v>
      </c>
      <c r="N5" s="174" t="s">
        <v>426</v>
      </c>
      <c r="O5" s="174" t="s">
        <v>1634</v>
      </c>
      <c r="P5" s="176" t="s">
        <v>1632</v>
      </c>
      <c r="Q5" s="174"/>
      <c r="R5" s="174"/>
      <c r="S5" s="174" t="s">
        <v>1596</v>
      </c>
      <c r="T5" s="174" t="s">
        <v>1584</v>
      </c>
      <c r="U5" s="174" t="s">
        <v>1608</v>
      </c>
      <c r="V5" s="174">
        <v>1</v>
      </c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174"/>
      <c r="AI5" s="232" t="str">
        <f>_xlfn.IFNA(IF(INDEX(製品仕様マスタ!C:C,MATCH(W2Pデータ貼り付け!T5,製品仕様マスタ!B:B,0))=0,"",INDEX(製品仕様マスタ!C:C,MATCH(W2Pデータ貼り付け!T5,製品仕様マスタ!B:B,0))),"")</f>
        <v/>
      </c>
      <c r="AJ5" s="232" t="str">
        <f>_xlfn.IFNA(IF(INDEX(製品仕様マスタ!AK:AK,MATCH(W2Pデータ貼り付け!T5,製品仕様マスタ!B:B,0))=0,"",INDEX(製品仕様マスタ!AK:AK,MATCH(W2Pデータ貼り付け!T5,製品仕様マスタ!B:B,0))),"")</f>
        <v/>
      </c>
      <c r="AK5" s="233" t="str">
        <f>_xlfn.IFNA(IF(INDEX(製品仕様マスタ!AY:AY,MATCH(W2Pデータ貼り付け!T5,製品仕様マスタ!B:B,0))=0,"",IF(INDEX(製品仕様マスタ!AY:AY,MATCH(W2Pデータ貼り付け!T5,製品仕様マスタ!B:B,0)) &lt;&gt; "-",INDEX(製品仕様マスタ!AY:AY,MATCH(W2Pデータ貼り付け!T5,製品仕様マスタ!B:B,0)),INDEX(製品仕様マスタ!AZ$1:BZ$500,MATCH(W2Pデータ貼り付け!T5,製品仕様マスタ!B:B,0),MATCH(W2Pデータ貼り付け!V5,製品仕様マスタ!AZ$1:BZ$1,0)))),"")</f>
        <v/>
      </c>
      <c r="AL5" s="232" t="str">
        <f t="shared" si="0"/>
        <v/>
      </c>
      <c r="AM5" s="232" t="str">
        <f>IF(AF5&lt;&gt;"",IF(ISNUMBER(T5),COUNT(AM$2:AM4)+1,""),"")</f>
        <v/>
      </c>
      <c r="AN5" s="231"/>
      <c r="AO5" s="231"/>
      <c r="AP5" s="231"/>
      <c r="AQ5" s="231"/>
      <c r="AR5" s="231"/>
      <c r="AS5" s="231"/>
      <c r="AT5" s="231"/>
      <c r="AU5" s="231"/>
      <c r="AV5" s="231"/>
      <c r="AW5" s="231"/>
      <c r="AX5" s="231"/>
      <c r="AY5" s="231"/>
      <c r="AZ5" s="231"/>
      <c r="BA5" s="231"/>
      <c r="BB5" s="231"/>
      <c r="BC5" s="231"/>
      <c r="BD5" s="231"/>
      <c r="BE5" s="231"/>
      <c r="BF5" s="231"/>
      <c r="BG5" s="231"/>
      <c r="BH5" s="231"/>
      <c r="BI5" s="231"/>
      <c r="BJ5" s="231"/>
      <c r="BK5" s="231"/>
      <c r="BL5" s="231"/>
      <c r="BM5" s="231"/>
      <c r="BN5" s="231"/>
      <c r="BO5" s="231"/>
      <c r="BP5" s="231"/>
      <c r="BQ5" s="231"/>
      <c r="BR5" s="231"/>
      <c r="BS5" s="231"/>
      <c r="BT5" s="231"/>
      <c r="BU5" s="231"/>
      <c r="BV5" s="231"/>
      <c r="BW5" s="231"/>
      <c r="BX5" s="231"/>
      <c r="BY5" s="231"/>
      <c r="BZ5" s="231"/>
      <c r="CA5" s="231"/>
      <c r="CB5" s="231"/>
      <c r="CC5" s="231"/>
      <c r="CD5" s="231"/>
      <c r="CE5" s="231"/>
      <c r="CF5" s="231"/>
      <c r="CG5" s="231"/>
      <c r="CH5" s="231"/>
      <c r="CI5" s="231"/>
      <c r="CJ5" s="231"/>
      <c r="CK5" s="231"/>
      <c r="CL5" s="231"/>
      <c r="CM5" s="231"/>
      <c r="CN5" s="231"/>
      <c r="CO5" s="231"/>
      <c r="CP5" s="231"/>
      <c r="CQ5" s="231"/>
      <c r="CR5" s="231"/>
      <c r="CS5" s="231"/>
      <c r="CT5" s="231"/>
      <c r="CU5" s="231"/>
      <c r="CV5" s="231"/>
    </row>
    <row r="6" spans="1:100" ht="14.1" customHeight="1" x14ac:dyDescent="0.15">
      <c r="A6" s="184" t="s">
        <v>1589</v>
      </c>
      <c r="B6" s="184" t="s">
        <v>1609</v>
      </c>
      <c r="C6" s="196">
        <v>11</v>
      </c>
      <c r="D6" s="190">
        <v>45952.59652777778</v>
      </c>
      <c r="E6" s="184" t="s">
        <v>1605</v>
      </c>
      <c r="F6" s="184" t="s">
        <v>1592</v>
      </c>
      <c r="G6" s="184">
        <v>2</v>
      </c>
      <c r="H6" s="184" t="s">
        <v>1606</v>
      </c>
      <c r="I6" s="184" t="s">
        <v>1630</v>
      </c>
      <c r="J6" s="184" t="s">
        <v>1629</v>
      </c>
      <c r="K6" s="184"/>
      <c r="L6" s="184" t="s">
        <v>1605</v>
      </c>
      <c r="M6" s="184" t="s">
        <v>1607</v>
      </c>
      <c r="N6" s="184" t="s">
        <v>426</v>
      </c>
      <c r="O6" s="184" t="s">
        <v>1634</v>
      </c>
      <c r="P6" s="191" t="s">
        <v>1632</v>
      </c>
      <c r="Q6" s="184"/>
      <c r="R6" s="184"/>
      <c r="S6" s="184" t="s">
        <v>1596</v>
      </c>
      <c r="T6" s="184">
        <v>201485</v>
      </c>
      <c r="U6" s="184" t="s">
        <v>1610</v>
      </c>
      <c r="V6" s="184">
        <v>1</v>
      </c>
      <c r="W6" s="184"/>
      <c r="X6" s="184"/>
      <c r="Y6" s="184"/>
      <c r="Z6" s="184"/>
      <c r="AA6" s="184"/>
      <c r="AB6" s="184"/>
      <c r="AC6" s="184"/>
      <c r="AD6" s="184"/>
      <c r="AE6" s="184"/>
      <c r="AF6" s="184">
        <v>20260122</v>
      </c>
      <c r="AG6" s="184"/>
      <c r="AH6" s="184">
        <v>20260121</v>
      </c>
      <c r="AI6" s="232" t="str">
        <f>_xlfn.IFNA(IF(INDEX(製品仕様マスタ!C:C,MATCH(W2Pデータ貼り付け!T6,製品仕様マスタ!B:B,0))=0,"",INDEX(製品仕様マスタ!C:C,MATCH(W2Pデータ貼り付け!T6,製品仕様マスタ!B:B,0))),"")</f>
        <v>201485-P2512A</v>
      </c>
      <c r="AJ6" s="232" t="str">
        <f>_xlfn.IFNA(IF(INDEX(製品仕様マスタ!AK:AK,MATCH(W2Pデータ貼り付け!T6,製品仕様マスタ!B:B,0))=0,"",INDEX(製品仕様マスタ!AK:AK,MATCH(W2Pデータ貼り付け!T6,製品仕様マスタ!B:B,0))),"")</f>
        <v>201485-N2512A</v>
      </c>
      <c r="AK6" s="233">
        <f>_xlfn.IFNA(IF(INDEX(製品仕様マスタ!AY:AY,MATCH(W2Pデータ貼り付け!T6,製品仕様マスタ!B:B,0))=0,"",IF(INDEX(製品仕様マスタ!AY:AY,MATCH(W2Pデータ貼り付け!T6,製品仕様マスタ!B:B,0)) &lt;&gt; "-",INDEX(製品仕様マスタ!AY:AY,MATCH(W2Pデータ貼り付け!T6,製品仕様マスタ!B:B,0)),INDEX(製品仕様マスタ!AZ$1:BZ$500,MATCH(W2Pデータ貼り付け!T6,製品仕様マスタ!B:B,0),MATCH(W2Pデータ貼り付け!V6,製品仕様マスタ!AZ$1:BZ$1,0)))),"")</f>
        <v>127.1</v>
      </c>
      <c r="AL6" s="232">
        <f t="shared" si="0"/>
        <v>127.1</v>
      </c>
      <c r="AM6" s="232">
        <f>IF(AF6&lt;&gt;"",IF(ISNUMBER(T6),COUNT(AM$2:AM5)+1,""),"")</f>
        <v>1</v>
      </c>
      <c r="AN6" s="231"/>
      <c r="AO6" s="231"/>
      <c r="AP6" s="231"/>
      <c r="AQ6" s="231"/>
      <c r="AR6" s="231"/>
      <c r="AS6" s="231"/>
      <c r="AT6" s="231"/>
      <c r="AU6" s="231"/>
      <c r="AV6" s="231"/>
      <c r="AW6" s="231"/>
      <c r="AX6" s="231"/>
      <c r="AY6" s="231"/>
      <c r="AZ6" s="231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231"/>
      <c r="CB6" s="231"/>
      <c r="CC6" s="231"/>
      <c r="CD6" s="231"/>
      <c r="CE6" s="231"/>
      <c r="CF6" s="231"/>
      <c r="CG6" s="231"/>
      <c r="CH6" s="231"/>
      <c r="CI6" s="231"/>
      <c r="CJ6" s="231"/>
      <c r="CK6" s="231"/>
      <c r="CL6" s="231"/>
      <c r="CM6" s="231"/>
      <c r="CN6" s="231"/>
      <c r="CO6" s="231"/>
      <c r="CP6" s="231"/>
      <c r="CQ6" s="231"/>
      <c r="CR6" s="231"/>
      <c r="CS6" s="231"/>
      <c r="CT6" s="231"/>
      <c r="CU6" s="231"/>
      <c r="CV6" s="231"/>
    </row>
    <row r="7" spans="1:100" ht="14.1" customHeight="1" x14ac:dyDescent="0.15">
      <c r="A7" s="174" t="s">
        <v>1599</v>
      </c>
      <c r="B7" s="174" t="s">
        <v>1611</v>
      </c>
      <c r="C7" s="193">
        <v>12</v>
      </c>
      <c r="D7" s="175">
        <v>45952.609027777777</v>
      </c>
      <c r="E7" s="174" t="s">
        <v>1605</v>
      </c>
      <c r="F7" s="174" t="s">
        <v>1592</v>
      </c>
      <c r="G7" s="174">
        <v>2</v>
      </c>
      <c r="H7" s="174" t="s">
        <v>1606</v>
      </c>
      <c r="I7" s="174" t="s">
        <v>1630</v>
      </c>
      <c r="J7" s="174" t="s">
        <v>1629</v>
      </c>
      <c r="K7" s="174"/>
      <c r="L7" s="174" t="s">
        <v>1605</v>
      </c>
      <c r="M7" s="174" t="s">
        <v>1607</v>
      </c>
      <c r="N7" s="174" t="s">
        <v>426</v>
      </c>
      <c r="O7" s="174" t="s">
        <v>1634</v>
      </c>
      <c r="P7" s="176" t="s">
        <v>1632</v>
      </c>
      <c r="Q7" s="174"/>
      <c r="R7" s="174"/>
      <c r="S7" s="174" t="s">
        <v>1596</v>
      </c>
      <c r="T7" s="174" t="s">
        <v>1585</v>
      </c>
      <c r="U7" s="174" t="s">
        <v>1612</v>
      </c>
      <c r="V7" s="174">
        <v>2</v>
      </c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232" t="str">
        <f>_xlfn.IFNA(IF(INDEX(製品仕様マスタ!C:C,MATCH(W2Pデータ貼り付け!T7,製品仕様マスタ!B:B,0))=0,"",INDEX(製品仕様マスタ!C:C,MATCH(W2Pデータ貼り付け!T7,製品仕様マスタ!B:B,0))),"")</f>
        <v/>
      </c>
      <c r="AJ7" s="232" t="str">
        <f>_xlfn.IFNA(IF(INDEX(製品仕様マスタ!AK:AK,MATCH(W2Pデータ貼り付け!T7,製品仕様マスタ!B:B,0))=0,"",INDEX(製品仕様マスタ!AK:AK,MATCH(W2Pデータ貼り付け!T7,製品仕様マスタ!B:B,0))),"")</f>
        <v/>
      </c>
      <c r="AK7" s="233" t="str">
        <f>_xlfn.IFNA(IF(INDEX(製品仕様マスタ!AY:AY,MATCH(W2Pデータ貼り付け!T7,製品仕様マスタ!B:B,0))=0,"",IF(INDEX(製品仕様マスタ!AY:AY,MATCH(W2Pデータ貼り付け!T7,製品仕様マスタ!B:B,0)) &lt;&gt; "-",INDEX(製品仕様マスタ!AY:AY,MATCH(W2Pデータ貼り付け!T7,製品仕様マスタ!B:B,0)),INDEX(製品仕様マスタ!AZ$1:BZ$500,MATCH(W2Pデータ貼り付け!T7,製品仕様マスタ!B:B,0),MATCH(W2Pデータ貼り付け!V7,製品仕様マスタ!AZ$1:BZ$1,0)))),"")</f>
        <v/>
      </c>
      <c r="AL7" s="232" t="str">
        <f t="shared" si="0"/>
        <v/>
      </c>
      <c r="AM7" s="232" t="str">
        <f>IF(AF7&lt;&gt;"",IF(ISNUMBER(T7),COUNT(AM$2:AM6)+1,""),"")</f>
        <v/>
      </c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  <c r="BA7" s="231"/>
      <c r="BB7" s="231"/>
      <c r="BC7" s="231"/>
      <c r="BD7" s="231"/>
      <c r="BE7" s="231"/>
      <c r="BF7" s="231"/>
      <c r="BG7" s="231"/>
      <c r="BH7" s="231"/>
      <c r="BI7" s="231"/>
      <c r="BJ7" s="231"/>
      <c r="BK7" s="231"/>
      <c r="BL7" s="231"/>
      <c r="BM7" s="231"/>
      <c r="BN7" s="231"/>
      <c r="BO7" s="231"/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231"/>
      <c r="CD7" s="231"/>
      <c r="CE7" s="231"/>
      <c r="CF7" s="231"/>
      <c r="CG7" s="231"/>
      <c r="CH7" s="231"/>
      <c r="CI7" s="231"/>
      <c r="CJ7" s="231"/>
      <c r="CK7" s="231"/>
      <c r="CL7" s="231"/>
      <c r="CM7" s="231"/>
      <c r="CN7" s="231"/>
      <c r="CO7" s="231"/>
      <c r="CP7" s="231"/>
      <c r="CQ7" s="231"/>
      <c r="CR7" s="231"/>
      <c r="CS7" s="231"/>
      <c r="CT7" s="231"/>
      <c r="CU7" s="231"/>
      <c r="CV7" s="231"/>
    </row>
    <row r="8" spans="1:100" ht="13.5" customHeight="1" x14ac:dyDescent="0.15">
      <c r="A8" s="174" t="s">
        <v>1589</v>
      </c>
      <c r="B8" s="174" t="s">
        <v>1613</v>
      </c>
      <c r="C8" s="193">
        <v>13</v>
      </c>
      <c r="D8" s="175">
        <v>45953.429166666669</v>
      </c>
      <c r="E8" s="174" t="s">
        <v>1605</v>
      </c>
      <c r="F8" s="174" t="s">
        <v>1592</v>
      </c>
      <c r="G8" s="174">
        <v>2</v>
      </c>
      <c r="H8" s="174" t="s">
        <v>1606</v>
      </c>
      <c r="I8" s="174" t="s">
        <v>1630</v>
      </c>
      <c r="J8" s="174" t="s">
        <v>1629</v>
      </c>
      <c r="K8" s="174"/>
      <c r="L8" s="174" t="s">
        <v>1605</v>
      </c>
      <c r="M8" s="174" t="s">
        <v>1607</v>
      </c>
      <c r="N8" s="174" t="s">
        <v>426</v>
      </c>
      <c r="O8" s="174" t="s">
        <v>1634</v>
      </c>
      <c r="P8" s="176" t="s">
        <v>1632</v>
      </c>
      <c r="Q8" s="174"/>
      <c r="R8" s="174"/>
      <c r="S8" s="174" t="s">
        <v>1596</v>
      </c>
      <c r="T8" s="174" t="s">
        <v>1582</v>
      </c>
      <c r="U8" s="174" t="s">
        <v>1614</v>
      </c>
      <c r="V8" s="174">
        <v>2</v>
      </c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  <c r="AH8" s="174"/>
      <c r="AI8" s="232" t="str">
        <f>_xlfn.IFNA(IF(INDEX(製品仕様マスタ!C:C,MATCH(W2Pデータ貼り付け!T8,製品仕様マスタ!B:B,0))=0,"",INDEX(製品仕様マスタ!C:C,MATCH(W2Pデータ貼り付け!T8,製品仕様マスタ!B:B,0))),"")</f>
        <v/>
      </c>
      <c r="AJ8" s="232" t="str">
        <f>_xlfn.IFNA(IF(INDEX(製品仕様マスタ!AK:AK,MATCH(W2Pデータ貼り付け!T8,製品仕様マスタ!B:B,0))=0,"",INDEX(製品仕様マスタ!AK:AK,MATCH(W2Pデータ貼り付け!T8,製品仕様マスタ!B:B,0))),"")</f>
        <v/>
      </c>
      <c r="AK8" s="233" t="str">
        <f>_xlfn.IFNA(IF(INDEX(製品仕様マスタ!AY:AY,MATCH(W2Pデータ貼り付け!T8,製品仕様マスタ!B:B,0))=0,"",IF(INDEX(製品仕様マスタ!AY:AY,MATCH(W2Pデータ貼り付け!T8,製品仕様マスタ!B:B,0)) &lt;&gt; "-",INDEX(製品仕様マスタ!AY:AY,MATCH(W2Pデータ貼り付け!T8,製品仕様マスタ!B:B,0)),INDEX(製品仕様マスタ!AZ$1:BZ$500,MATCH(W2Pデータ貼り付け!T8,製品仕様マスタ!B:B,0),MATCH(W2Pデータ貼り付け!V8,製品仕様マスタ!AZ$1:BZ$1,0)))),"")</f>
        <v/>
      </c>
      <c r="AL8" s="232" t="str">
        <f t="shared" si="0"/>
        <v/>
      </c>
      <c r="AM8" s="232" t="str">
        <f>IF(AF8&lt;&gt;"",IF(ISNUMBER(T8),COUNT(AM$2:AM7)+1,""),"")</f>
        <v/>
      </c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1"/>
      <c r="BQ8" s="231"/>
      <c r="BR8" s="231"/>
      <c r="BS8" s="231"/>
      <c r="BT8" s="231"/>
      <c r="BU8" s="231"/>
      <c r="BV8" s="231"/>
      <c r="BW8" s="231"/>
      <c r="BX8" s="231"/>
      <c r="BY8" s="231"/>
      <c r="BZ8" s="231"/>
      <c r="CA8" s="231"/>
      <c r="CB8" s="231"/>
      <c r="CC8" s="231"/>
      <c r="CD8" s="231"/>
      <c r="CE8" s="231"/>
      <c r="CF8" s="231"/>
      <c r="CG8" s="231"/>
      <c r="CH8" s="231"/>
      <c r="CI8" s="231"/>
      <c r="CJ8" s="231"/>
      <c r="CK8" s="231"/>
      <c r="CL8" s="231"/>
      <c r="CM8" s="231"/>
      <c r="CN8" s="231"/>
      <c r="CO8" s="231"/>
      <c r="CP8" s="231"/>
      <c r="CQ8" s="231"/>
      <c r="CR8" s="231"/>
      <c r="CS8" s="231"/>
      <c r="CT8" s="231"/>
      <c r="CU8" s="231"/>
      <c r="CV8" s="231"/>
    </row>
    <row r="9" spans="1:100" ht="14.1" customHeight="1" x14ac:dyDescent="0.15">
      <c r="A9" s="184" t="s">
        <v>1599</v>
      </c>
      <c r="B9" s="184" t="s">
        <v>1615</v>
      </c>
      <c r="C9" s="196">
        <v>14</v>
      </c>
      <c r="D9" s="190">
        <v>45953.431944444441</v>
      </c>
      <c r="E9" s="184" t="s">
        <v>1605</v>
      </c>
      <c r="F9" s="184" t="s">
        <v>1592</v>
      </c>
      <c r="G9" s="184">
        <v>2</v>
      </c>
      <c r="H9" s="184" t="s">
        <v>1606</v>
      </c>
      <c r="I9" s="184" t="s">
        <v>1630</v>
      </c>
      <c r="J9" s="184" t="s">
        <v>1629</v>
      </c>
      <c r="K9" s="184"/>
      <c r="L9" s="184" t="s">
        <v>1605</v>
      </c>
      <c r="M9" s="184" t="s">
        <v>1607</v>
      </c>
      <c r="N9" s="184" t="s">
        <v>426</v>
      </c>
      <c r="O9" s="184" t="s">
        <v>1634</v>
      </c>
      <c r="P9" s="191" t="s">
        <v>1632</v>
      </c>
      <c r="Q9" s="184"/>
      <c r="R9" s="184"/>
      <c r="S9" s="184" t="s">
        <v>1596</v>
      </c>
      <c r="T9" s="184">
        <v>200627</v>
      </c>
      <c r="U9" s="184" t="s">
        <v>1616</v>
      </c>
      <c r="V9" s="184">
        <v>1</v>
      </c>
      <c r="W9" s="184"/>
      <c r="X9" s="184"/>
      <c r="Y9" s="184"/>
      <c r="Z9" s="184"/>
      <c r="AA9" s="184"/>
      <c r="AB9" s="184"/>
      <c r="AC9" s="184"/>
      <c r="AD9" s="184"/>
      <c r="AE9" s="184"/>
      <c r="AF9" s="184">
        <v>20260122</v>
      </c>
      <c r="AG9" s="184"/>
      <c r="AH9" s="184">
        <v>20260121</v>
      </c>
      <c r="AI9" s="232" t="str">
        <f>_xlfn.IFNA(IF(INDEX(製品仕様マスタ!C:C,MATCH(W2Pデータ貼り付け!T9,製品仕様マスタ!B:B,0))=0,"",INDEX(製品仕様マスタ!C:C,MATCH(W2Pデータ貼り付け!T9,製品仕様マスタ!B:B,0))),"")</f>
        <v>200627-P2512A</v>
      </c>
      <c r="AJ9" s="232" t="str">
        <f>_xlfn.IFNA(IF(INDEX(製品仕様マスタ!AK:AK,MATCH(W2Pデータ貼り付け!T9,製品仕様マスタ!B:B,0))=0,"",INDEX(製品仕様マスタ!AK:AK,MATCH(W2Pデータ貼り付け!T9,製品仕様マスタ!B:B,0))),"")</f>
        <v>200627-N2512A</v>
      </c>
      <c r="AK9" s="233">
        <f>_xlfn.IFNA(IF(INDEX(製品仕様マスタ!AY:AY,MATCH(W2Pデータ貼り付け!T9,製品仕様マスタ!B:B,0))=0,"",IF(INDEX(製品仕様マスタ!AY:AY,MATCH(W2Pデータ貼り付け!T9,製品仕様マスタ!B:B,0)) &lt;&gt; "-",INDEX(製品仕様マスタ!AY:AY,MATCH(W2Pデータ貼り付け!T9,製品仕様マスタ!B:B,0)),INDEX(製品仕様マスタ!AZ$1:BZ$500,MATCH(W2Pデータ貼り付け!T9,製品仕様マスタ!B:B,0),MATCH(W2Pデータ貼り付け!V9,製品仕様マスタ!AZ$1:BZ$1,0)))),"")</f>
        <v>107.5</v>
      </c>
      <c r="AL9" s="232">
        <f t="shared" si="0"/>
        <v>107.5</v>
      </c>
      <c r="AM9" s="232">
        <f>IF(AF9&lt;&gt;"",IF(ISNUMBER(T9),COUNT(AM$2:AM8)+1,""),"")</f>
        <v>2</v>
      </c>
      <c r="AN9" s="231"/>
      <c r="AO9" s="231"/>
      <c r="AP9" s="231"/>
      <c r="AQ9" s="231"/>
      <c r="AR9" s="231"/>
      <c r="AS9" s="231"/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  <c r="BH9" s="231"/>
      <c r="BI9" s="231"/>
      <c r="BJ9" s="231"/>
      <c r="BK9" s="231"/>
      <c r="BL9" s="231"/>
      <c r="BM9" s="231"/>
      <c r="BN9" s="231"/>
      <c r="BO9" s="231"/>
      <c r="BP9" s="231"/>
      <c r="BQ9" s="231"/>
      <c r="BR9" s="231"/>
      <c r="BS9" s="231"/>
      <c r="BT9" s="231"/>
      <c r="BU9" s="231"/>
      <c r="BV9" s="231"/>
      <c r="BW9" s="231"/>
      <c r="BX9" s="231"/>
      <c r="BY9" s="231"/>
      <c r="BZ9" s="231"/>
      <c r="CA9" s="231"/>
      <c r="CB9" s="231"/>
      <c r="CC9" s="231"/>
      <c r="CD9" s="231"/>
      <c r="CE9" s="231"/>
      <c r="CF9" s="231"/>
      <c r="CG9" s="231"/>
      <c r="CH9" s="231"/>
      <c r="CI9" s="231"/>
      <c r="CJ9" s="231"/>
      <c r="CK9" s="231"/>
      <c r="CL9" s="231"/>
      <c r="CM9" s="231"/>
      <c r="CN9" s="231"/>
      <c r="CO9" s="231"/>
      <c r="CP9" s="231"/>
      <c r="CQ9" s="231"/>
      <c r="CR9" s="231"/>
      <c r="CS9" s="231"/>
      <c r="CT9" s="231"/>
      <c r="CU9" s="231"/>
      <c r="CV9" s="231"/>
    </row>
    <row r="10" spans="1:100" ht="14.1" customHeight="1" x14ac:dyDescent="0.15">
      <c r="A10" s="185" t="s">
        <v>1589</v>
      </c>
      <c r="B10" s="185" t="s">
        <v>1617</v>
      </c>
      <c r="C10" s="195">
        <v>15</v>
      </c>
      <c r="D10" s="188">
        <v>45953.438888888886</v>
      </c>
      <c r="E10" s="185" t="s">
        <v>1605</v>
      </c>
      <c r="F10" s="185" t="s">
        <v>1592</v>
      </c>
      <c r="G10" s="185">
        <v>2</v>
      </c>
      <c r="H10" s="185" t="s">
        <v>1606</v>
      </c>
      <c r="I10" s="185" t="s">
        <v>1630</v>
      </c>
      <c r="J10" s="185" t="s">
        <v>1629</v>
      </c>
      <c r="K10" s="185"/>
      <c r="L10" s="185" t="s">
        <v>1605</v>
      </c>
      <c r="M10" s="185" t="s">
        <v>1607</v>
      </c>
      <c r="N10" s="185" t="s">
        <v>426</v>
      </c>
      <c r="O10" s="185" t="s">
        <v>1634</v>
      </c>
      <c r="P10" s="189" t="s">
        <v>1632</v>
      </c>
      <c r="Q10" s="185"/>
      <c r="R10" s="185"/>
      <c r="S10" s="185" t="s">
        <v>1596</v>
      </c>
      <c r="T10" s="185" t="s">
        <v>1618</v>
      </c>
      <c r="U10" s="185" t="s">
        <v>1619</v>
      </c>
      <c r="V10" s="185">
        <v>10</v>
      </c>
      <c r="W10" s="185"/>
      <c r="X10" s="185"/>
      <c r="Y10" s="185"/>
      <c r="Z10" s="185"/>
      <c r="AA10" s="185"/>
      <c r="AB10" s="185"/>
      <c r="AC10" s="185"/>
      <c r="AD10" s="185"/>
      <c r="AE10" s="185"/>
      <c r="AF10" s="185">
        <v>20260120</v>
      </c>
      <c r="AG10" s="185"/>
      <c r="AH10" s="185">
        <v>20260119</v>
      </c>
      <c r="AI10" s="232" t="str">
        <f>_xlfn.IFNA(IF(INDEX(製品仕様マスタ!C:C,MATCH(W2Pデータ貼り付け!T10,製品仕様マスタ!B:B,0))=0,"",INDEX(製品仕様マスタ!C:C,MATCH(W2Pデータ貼り付け!T10,製品仕様マスタ!B:B,0))),"")</f>
        <v/>
      </c>
      <c r="AJ10" s="232" t="str">
        <f>_xlfn.IFNA(IF(INDEX(製品仕様マスタ!AK:AK,MATCH(W2Pデータ貼り付け!T10,製品仕様マスタ!B:B,0))=0,"",INDEX(製品仕様マスタ!AK:AK,MATCH(W2Pデータ貼り付け!T10,製品仕様マスタ!B:B,0))),"")</f>
        <v/>
      </c>
      <c r="AK10" s="233" t="str">
        <f>_xlfn.IFNA(IF(INDEX(製品仕様マスタ!AY:AY,MATCH(W2Pデータ貼り付け!T10,製品仕様マスタ!B:B,0))=0,"",IF(INDEX(製品仕様マスタ!AY:AY,MATCH(W2Pデータ貼り付け!T10,製品仕様マスタ!B:B,0)) &lt;&gt; "-",INDEX(製品仕様マスタ!AY:AY,MATCH(W2Pデータ貼り付け!T10,製品仕様マスタ!B:B,0)),INDEX(製品仕様マスタ!AZ$1:BZ$500,MATCH(W2Pデータ貼り付け!T10,製品仕様マスタ!B:B,0),MATCH(W2Pデータ貼り付け!V10,製品仕様マスタ!AZ$1:BZ$1,0)))),"")</f>
        <v/>
      </c>
      <c r="AL10" s="232" t="str">
        <f t="shared" si="0"/>
        <v/>
      </c>
      <c r="AM10" s="232" t="str">
        <f>IF(AF10&lt;&gt;"",IF(ISNUMBER(T10),COUNT(AM$2:AM9)+1,""),"")</f>
        <v/>
      </c>
      <c r="AN10" s="231"/>
      <c r="AO10" s="231"/>
      <c r="AP10" s="231"/>
      <c r="AQ10" s="231"/>
      <c r="AR10" s="231"/>
      <c r="AS10" s="231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  <c r="BH10" s="231"/>
      <c r="BI10" s="231"/>
      <c r="BJ10" s="231"/>
      <c r="BK10" s="231"/>
      <c r="BL10" s="231"/>
      <c r="BM10" s="231"/>
      <c r="BN10" s="231"/>
      <c r="BO10" s="231"/>
      <c r="BP10" s="231"/>
      <c r="BQ10" s="231"/>
      <c r="BR10" s="231"/>
      <c r="BS10" s="231"/>
      <c r="BT10" s="231"/>
      <c r="BU10" s="231"/>
      <c r="BV10" s="231"/>
      <c r="BW10" s="231"/>
      <c r="BX10" s="231"/>
      <c r="BY10" s="231"/>
      <c r="BZ10" s="231"/>
      <c r="CA10" s="231"/>
      <c r="CB10" s="231"/>
      <c r="CC10" s="231"/>
      <c r="CD10" s="231"/>
      <c r="CE10" s="231"/>
      <c r="CF10" s="231"/>
      <c r="CG10" s="231"/>
      <c r="CH10" s="231"/>
      <c r="CI10" s="231"/>
      <c r="CJ10" s="231"/>
      <c r="CK10" s="231"/>
      <c r="CL10" s="231"/>
      <c r="CM10" s="231"/>
      <c r="CN10" s="231"/>
      <c r="CO10" s="231"/>
      <c r="CP10" s="231"/>
      <c r="CQ10" s="231"/>
      <c r="CR10" s="231"/>
      <c r="CS10" s="231"/>
      <c r="CT10" s="231"/>
      <c r="CU10" s="231"/>
      <c r="CV10" s="231"/>
    </row>
    <row r="11" spans="1:100" ht="14.1" customHeight="1" x14ac:dyDescent="0.15">
      <c r="A11" s="174" t="s">
        <v>1599</v>
      </c>
      <c r="B11" s="174" t="s">
        <v>1620</v>
      </c>
      <c r="C11" s="193">
        <v>16</v>
      </c>
      <c r="D11" s="175">
        <v>45953.443749999999</v>
      </c>
      <c r="E11" s="174" t="s">
        <v>1605</v>
      </c>
      <c r="F11" s="174" t="s">
        <v>1592</v>
      </c>
      <c r="G11" s="174">
        <v>2</v>
      </c>
      <c r="H11" s="174" t="s">
        <v>1606</v>
      </c>
      <c r="I11" s="174" t="s">
        <v>1630</v>
      </c>
      <c r="J11" s="174" t="s">
        <v>1629</v>
      </c>
      <c r="K11" s="174"/>
      <c r="L11" s="174"/>
      <c r="M11" s="174" t="s">
        <v>1607</v>
      </c>
      <c r="N11" s="174" t="s">
        <v>426</v>
      </c>
      <c r="O11" s="174" t="s">
        <v>1633</v>
      </c>
      <c r="P11" s="176" t="s">
        <v>1632</v>
      </c>
      <c r="Q11" s="174" t="s">
        <v>1621</v>
      </c>
      <c r="R11" s="174"/>
      <c r="S11" s="174" t="s">
        <v>1596</v>
      </c>
      <c r="T11" s="174" t="s">
        <v>1622</v>
      </c>
      <c r="U11" s="174" t="s">
        <v>1623</v>
      </c>
      <c r="V11" s="174">
        <v>1</v>
      </c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232" t="str">
        <f>_xlfn.IFNA(IF(INDEX(製品仕様マスタ!C:C,MATCH(W2Pデータ貼り付け!T11,製品仕様マスタ!B:B,0))=0,"",INDEX(製品仕様マスタ!C:C,MATCH(W2Pデータ貼り付け!T11,製品仕様マスタ!B:B,0))),"")</f>
        <v/>
      </c>
      <c r="AJ11" s="232" t="str">
        <f>_xlfn.IFNA(IF(INDEX(製品仕様マスタ!AK:AK,MATCH(W2Pデータ貼り付け!T11,製品仕様マスタ!B:B,0))=0,"",INDEX(製品仕様マスタ!AK:AK,MATCH(W2Pデータ貼り付け!T11,製品仕様マスタ!B:B,0))),"")</f>
        <v/>
      </c>
      <c r="AK11" s="233" t="str">
        <f>_xlfn.IFNA(IF(INDEX(製品仕様マスタ!AY:AY,MATCH(W2Pデータ貼り付け!T11,製品仕様マスタ!B:B,0))=0,"",IF(INDEX(製品仕様マスタ!AY:AY,MATCH(W2Pデータ貼り付け!T11,製品仕様マスタ!B:B,0)) &lt;&gt; "-",INDEX(製品仕様マスタ!AY:AY,MATCH(W2Pデータ貼り付け!T11,製品仕様マスタ!B:B,0)),INDEX(製品仕様マスタ!AZ$1:BZ$500,MATCH(W2Pデータ貼り付け!T11,製品仕様マスタ!B:B,0),MATCH(W2Pデータ貼り付け!V11,製品仕様マスタ!AZ$1:BZ$1,0)))),"")</f>
        <v/>
      </c>
      <c r="AL11" s="232" t="str">
        <f t="shared" si="0"/>
        <v/>
      </c>
      <c r="AM11" s="232" t="str">
        <f>IF(AF11&lt;&gt;"",IF(ISNUMBER(T11),COUNT(AM$2:AM10)+1,""),"")</f>
        <v/>
      </c>
      <c r="AN11" s="231"/>
      <c r="AO11" s="231"/>
      <c r="AP11" s="231"/>
      <c r="AQ11" s="231"/>
      <c r="AR11" s="231"/>
      <c r="AS11" s="231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  <c r="BH11" s="231"/>
      <c r="BI11" s="231"/>
      <c r="BJ11" s="231"/>
      <c r="BK11" s="231"/>
      <c r="BL11" s="231"/>
      <c r="BM11" s="231"/>
      <c r="BN11" s="231"/>
      <c r="BO11" s="231"/>
      <c r="BP11" s="231"/>
      <c r="BQ11" s="231"/>
      <c r="BR11" s="231"/>
      <c r="BS11" s="231"/>
      <c r="BT11" s="231"/>
      <c r="BU11" s="231"/>
      <c r="BV11" s="231"/>
      <c r="BW11" s="231"/>
      <c r="BX11" s="231"/>
      <c r="BY11" s="231"/>
      <c r="BZ11" s="231"/>
      <c r="CA11" s="231"/>
      <c r="CB11" s="231"/>
      <c r="CC11" s="231"/>
      <c r="CD11" s="231"/>
      <c r="CE11" s="231"/>
      <c r="CF11" s="231"/>
      <c r="CG11" s="231"/>
      <c r="CH11" s="231"/>
      <c r="CI11" s="231"/>
      <c r="CJ11" s="231"/>
      <c r="CK11" s="231"/>
      <c r="CL11" s="231"/>
      <c r="CM11" s="231"/>
      <c r="CN11" s="231"/>
      <c r="CO11" s="231"/>
      <c r="CP11" s="231"/>
      <c r="CQ11" s="231"/>
      <c r="CR11" s="231"/>
      <c r="CS11" s="231"/>
      <c r="CT11" s="231"/>
      <c r="CU11" s="231"/>
      <c r="CV11" s="231"/>
    </row>
    <row r="12" spans="1:100" ht="14.1" customHeight="1" x14ac:dyDescent="0.15">
      <c r="A12" s="174" t="s">
        <v>1589</v>
      </c>
      <c r="B12" s="174" t="s">
        <v>1624</v>
      </c>
      <c r="C12" s="193">
        <v>17</v>
      </c>
      <c r="D12" s="175">
        <v>45953.474999999999</v>
      </c>
      <c r="E12" s="174" t="s">
        <v>1605</v>
      </c>
      <c r="F12" s="174" t="s">
        <v>1592</v>
      </c>
      <c r="G12" s="174">
        <v>2</v>
      </c>
      <c r="H12" s="174" t="s">
        <v>1606</v>
      </c>
      <c r="I12" s="174" t="s">
        <v>1630</v>
      </c>
      <c r="J12" s="174" t="s">
        <v>1629</v>
      </c>
      <c r="K12" s="174"/>
      <c r="L12" s="174" t="s">
        <v>1605</v>
      </c>
      <c r="M12" s="174" t="s">
        <v>1607</v>
      </c>
      <c r="N12" s="174" t="s">
        <v>426</v>
      </c>
      <c r="O12" s="174" t="s">
        <v>1634</v>
      </c>
      <c r="P12" s="176" t="s">
        <v>1632</v>
      </c>
      <c r="Q12" s="174"/>
      <c r="R12" s="174"/>
      <c r="S12" s="174" t="s">
        <v>1596</v>
      </c>
      <c r="T12" s="174" t="s">
        <v>1582</v>
      </c>
      <c r="U12" s="174" t="s">
        <v>1614</v>
      </c>
      <c r="V12" s="174">
        <v>1</v>
      </c>
      <c r="W12" s="174"/>
      <c r="X12" s="174"/>
      <c r="Y12" s="174"/>
      <c r="Z12" s="174"/>
      <c r="AA12" s="174"/>
      <c r="AB12" s="174"/>
      <c r="AC12" s="174"/>
      <c r="AD12" s="174"/>
      <c r="AE12" s="174"/>
      <c r="AF12" s="174"/>
      <c r="AG12" s="174"/>
      <c r="AH12" s="174"/>
      <c r="AI12" s="232" t="str">
        <f>_xlfn.IFNA(IF(INDEX(製品仕様マスタ!C:C,MATCH(W2Pデータ貼り付け!T12,製品仕様マスタ!B:B,0))=0,"",INDEX(製品仕様マスタ!C:C,MATCH(W2Pデータ貼り付け!T12,製品仕様マスタ!B:B,0))),"")</f>
        <v/>
      </c>
      <c r="AJ12" s="232" t="str">
        <f>_xlfn.IFNA(IF(INDEX(製品仕様マスタ!AK:AK,MATCH(W2Pデータ貼り付け!T12,製品仕様マスタ!B:B,0))=0,"",INDEX(製品仕様マスタ!AK:AK,MATCH(W2Pデータ貼り付け!T12,製品仕様マスタ!B:B,0))),"")</f>
        <v/>
      </c>
      <c r="AK12" s="233" t="str">
        <f>_xlfn.IFNA(IF(INDEX(製品仕様マスタ!AY:AY,MATCH(W2Pデータ貼り付け!T12,製品仕様マスタ!B:B,0))=0,"",IF(INDEX(製品仕様マスタ!AY:AY,MATCH(W2Pデータ貼り付け!T12,製品仕様マスタ!B:B,0)) &lt;&gt; "-",INDEX(製品仕様マスタ!AY:AY,MATCH(W2Pデータ貼り付け!T12,製品仕様マスタ!B:B,0)),INDEX(製品仕様マスタ!AZ$1:BZ$500,MATCH(W2Pデータ貼り付け!T12,製品仕様マスタ!B:B,0),MATCH(W2Pデータ貼り付け!V12,製品仕様マスタ!AZ$1:BZ$1,0)))),"")</f>
        <v/>
      </c>
      <c r="AL12" s="232" t="str">
        <f t="shared" si="0"/>
        <v/>
      </c>
      <c r="AM12" s="232" t="str">
        <f>IF(AF12&lt;&gt;"",IF(ISNUMBER(T12),COUNT(AM$2:AM11)+1,""),"")</f>
        <v/>
      </c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  <c r="CK12" s="231"/>
      <c r="CL12" s="231"/>
      <c r="CM12" s="231"/>
      <c r="CN12" s="231"/>
      <c r="CO12" s="231"/>
      <c r="CP12" s="231"/>
      <c r="CQ12" s="231"/>
      <c r="CR12" s="231"/>
      <c r="CS12" s="231"/>
      <c r="CT12" s="231"/>
      <c r="CU12" s="231"/>
      <c r="CV12" s="231"/>
    </row>
    <row r="13" spans="1:100" ht="14.1" customHeight="1" x14ac:dyDescent="0.15">
      <c r="A13" s="184" t="s">
        <v>1599</v>
      </c>
      <c r="B13" s="184" t="s">
        <v>1625</v>
      </c>
      <c r="C13" s="196">
        <v>18</v>
      </c>
      <c r="D13" s="190">
        <v>45953.586111111108</v>
      </c>
      <c r="E13" s="184" t="s">
        <v>1605</v>
      </c>
      <c r="F13" s="184" t="s">
        <v>1592</v>
      </c>
      <c r="G13" s="184">
        <v>2</v>
      </c>
      <c r="H13" s="184" t="s">
        <v>1606</v>
      </c>
      <c r="I13" s="184" t="s">
        <v>1630</v>
      </c>
      <c r="J13" s="184" t="s">
        <v>1629</v>
      </c>
      <c r="K13" s="184"/>
      <c r="L13" s="184" t="s">
        <v>1605</v>
      </c>
      <c r="M13" s="184" t="s">
        <v>1607</v>
      </c>
      <c r="N13" s="184" t="s">
        <v>426</v>
      </c>
      <c r="O13" s="184" t="s">
        <v>1634</v>
      </c>
      <c r="P13" s="191" t="s">
        <v>1632</v>
      </c>
      <c r="Q13" s="184"/>
      <c r="R13" s="184"/>
      <c r="S13" s="184" t="s">
        <v>1596</v>
      </c>
      <c r="T13" s="184">
        <v>200627</v>
      </c>
      <c r="U13" s="184" t="s">
        <v>1616</v>
      </c>
      <c r="V13" s="184">
        <v>1</v>
      </c>
      <c r="W13" s="184"/>
      <c r="X13" s="184"/>
      <c r="Y13" s="184"/>
      <c r="Z13" s="184"/>
      <c r="AA13" s="184"/>
      <c r="AB13" s="184"/>
      <c r="AC13" s="184"/>
      <c r="AD13" s="184"/>
      <c r="AE13" s="184"/>
      <c r="AF13" s="184">
        <v>20260122</v>
      </c>
      <c r="AG13" s="184"/>
      <c r="AH13" s="184">
        <v>20260121</v>
      </c>
      <c r="AI13" s="232" t="str">
        <f>_xlfn.IFNA(IF(INDEX(製品仕様マスタ!C:C,MATCH(W2Pデータ貼り付け!T13,製品仕様マスタ!B:B,0))=0,"",INDEX(製品仕様マスタ!C:C,MATCH(W2Pデータ貼り付け!T13,製品仕様マスタ!B:B,0))),"")</f>
        <v>200627-P2512A</v>
      </c>
      <c r="AJ13" s="232" t="str">
        <f>_xlfn.IFNA(IF(INDEX(製品仕様マスタ!AK:AK,MATCH(W2Pデータ貼り付け!T13,製品仕様マスタ!B:B,0))=0,"",INDEX(製品仕様マスタ!AK:AK,MATCH(W2Pデータ貼り付け!T13,製品仕様マスタ!B:B,0))),"")</f>
        <v>200627-N2512A</v>
      </c>
      <c r="AK13" s="233">
        <f>_xlfn.IFNA(IF(INDEX(製品仕様マスタ!AY:AY,MATCH(W2Pデータ貼り付け!T13,製品仕様マスタ!B:B,0))=0,"",IF(INDEX(製品仕様マスタ!AY:AY,MATCH(W2Pデータ貼り付け!T13,製品仕様マスタ!B:B,0)) &lt;&gt; "-",INDEX(製品仕様マスタ!AY:AY,MATCH(W2Pデータ貼り付け!T13,製品仕様マスタ!B:B,0)),INDEX(製品仕様マスタ!AZ$1:BZ$500,MATCH(W2Pデータ貼り付け!T13,製品仕様マスタ!B:B,0),MATCH(W2Pデータ貼り付け!V13,製品仕様マスタ!AZ$1:BZ$1,0)))),"")</f>
        <v>107.5</v>
      </c>
      <c r="AL13" s="232">
        <f t="shared" si="0"/>
        <v>107.5</v>
      </c>
      <c r="AM13" s="232">
        <f>IF(AF13&lt;&gt;"",IF(ISNUMBER(T13),COUNT(AM$2:AM12)+1,""),"")</f>
        <v>3</v>
      </c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  <c r="CK13" s="231"/>
      <c r="CL13" s="231"/>
      <c r="CM13" s="231"/>
      <c r="CN13" s="231"/>
      <c r="CO13" s="231"/>
      <c r="CP13" s="231"/>
      <c r="CQ13" s="231"/>
      <c r="CR13" s="231"/>
      <c r="CS13" s="231"/>
      <c r="CT13" s="231"/>
      <c r="CU13" s="231"/>
      <c r="CV13" s="231"/>
    </row>
    <row r="14" spans="1:100" ht="14.1" customHeight="1" x14ac:dyDescent="0.15">
      <c r="A14" s="174" t="s">
        <v>1589</v>
      </c>
      <c r="B14" s="174" t="s">
        <v>1626</v>
      </c>
      <c r="C14" s="193">
        <v>21</v>
      </c>
      <c r="D14" s="175">
        <v>45959.556250000001</v>
      </c>
      <c r="E14" s="174" t="s">
        <v>1605</v>
      </c>
      <c r="F14" s="174" t="s">
        <v>1592</v>
      </c>
      <c r="G14" s="174">
        <v>2</v>
      </c>
      <c r="H14" s="174" t="s">
        <v>1606</v>
      </c>
      <c r="I14" s="174" t="s">
        <v>1630</v>
      </c>
      <c r="J14" s="174" t="s">
        <v>1629</v>
      </c>
      <c r="K14" s="174"/>
      <c r="L14" s="174" t="s">
        <v>1605</v>
      </c>
      <c r="M14" s="174" t="s">
        <v>1607</v>
      </c>
      <c r="N14" s="174" t="s">
        <v>426</v>
      </c>
      <c r="O14" s="174" t="s">
        <v>1634</v>
      </c>
      <c r="P14" s="176" t="s">
        <v>1632</v>
      </c>
      <c r="Q14" s="174"/>
      <c r="R14" s="174"/>
      <c r="S14" s="174" t="s">
        <v>1596</v>
      </c>
      <c r="T14" s="174" t="s">
        <v>1583</v>
      </c>
      <c r="U14" s="174" t="s">
        <v>1627</v>
      </c>
      <c r="V14" s="174">
        <v>1</v>
      </c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232" t="str">
        <f>_xlfn.IFNA(IF(INDEX(製品仕様マスタ!C:C,MATCH(W2Pデータ貼り付け!T14,製品仕様マスタ!B:B,0))=0,"",INDEX(製品仕様マスタ!C:C,MATCH(W2Pデータ貼り付け!T14,製品仕様マスタ!B:B,0))),"")</f>
        <v/>
      </c>
      <c r="AJ14" s="232" t="str">
        <f>_xlfn.IFNA(IF(INDEX(製品仕様マスタ!AK:AK,MATCH(W2Pデータ貼り付け!T14,製品仕様マスタ!B:B,0))=0,"",INDEX(製品仕様マスタ!AK:AK,MATCH(W2Pデータ貼り付け!T14,製品仕様マスタ!B:B,0))),"")</f>
        <v/>
      </c>
      <c r="AK14" s="233" t="str">
        <f>_xlfn.IFNA(IF(INDEX(製品仕様マスタ!AY:AY,MATCH(W2Pデータ貼り付け!T14,製品仕様マスタ!B:B,0))=0,"",IF(INDEX(製品仕様マスタ!AY:AY,MATCH(W2Pデータ貼り付け!T14,製品仕様マスタ!B:B,0)) &lt;&gt; "-",INDEX(製品仕様マスタ!AY:AY,MATCH(W2Pデータ貼り付け!T14,製品仕様マスタ!B:B,0)),INDEX(製品仕様マスタ!AZ$1:BZ$500,MATCH(W2Pデータ貼り付け!T14,製品仕様マスタ!B:B,0),MATCH(W2Pデータ貼り付け!V14,製品仕様マスタ!AZ$1:BZ$1,0)))),"")</f>
        <v/>
      </c>
      <c r="AL14" s="232" t="str">
        <f t="shared" si="0"/>
        <v/>
      </c>
      <c r="AM14" s="232" t="str">
        <f>IF(AF14&lt;&gt;"",IF(ISNUMBER(T14),COUNT(AM$2:AM13)+1,""),"")</f>
        <v/>
      </c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  <c r="CK14" s="231"/>
      <c r="CL14" s="231"/>
      <c r="CM14" s="231"/>
      <c r="CN14" s="231"/>
      <c r="CO14" s="231"/>
      <c r="CP14" s="231"/>
      <c r="CQ14" s="231"/>
      <c r="CR14" s="231"/>
      <c r="CS14" s="231"/>
      <c r="CT14" s="231"/>
      <c r="CU14" s="231"/>
      <c r="CV14" s="231"/>
    </row>
    <row r="15" spans="1:100" ht="14.1" customHeight="1" x14ac:dyDescent="0.15">
      <c r="Q15"/>
      <c r="T15"/>
      <c r="AF15"/>
      <c r="AG15"/>
      <c r="AH15"/>
      <c r="AI15" s="232" t="str">
        <f>_xlfn.IFNA(IF(INDEX(製品仕様マスタ!C:C,MATCH(W2Pデータ貼り付け!T15,製品仕様マスタ!B:B,0))=0,"",INDEX(製品仕様マスタ!C:C,MATCH(W2Pデータ貼り付け!T15,製品仕様マスタ!B:B,0))),"")</f>
        <v/>
      </c>
      <c r="AJ15" s="232" t="str">
        <f>_xlfn.IFNA(IF(INDEX(製品仕様マスタ!AK:AK,MATCH(W2Pデータ貼り付け!T15,製品仕様マスタ!B:B,0))=0,"",INDEX(製品仕様マスタ!AK:AK,MATCH(W2Pデータ貼り付け!T15,製品仕様マスタ!B:B,0))),"")</f>
        <v/>
      </c>
      <c r="AK15" s="233" t="str">
        <f>_xlfn.IFNA(IF(INDEX(製品仕様マスタ!AY:AY,MATCH(W2Pデータ貼り付け!T15,製品仕様マスタ!B:B,0))=0,"",IF(INDEX(製品仕様マスタ!AY:AY,MATCH(W2Pデータ貼り付け!T15,製品仕様マスタ!B:B,0)) &lt;&gt; "-",INDEX(製品仕様マスタ!AY:AY,MATCH(W2Pデータ貼り付け!T15,製品仕様マスタ!B:B,0)),INDEX(製品仕様マスタ!AZ$1:BZ$500,MATCH(W2Pデータ貼り付け!T15,製品仕様マスタ!B:B,0),MATCH(W2Pデータ貼り付け!V15,製品仕様マスタ!AZ$1:BZ$1,0)))),"")</f>
        <v/>
      </c>
      <c r="AL15" s="232" t="str">
        <f t="shared" si="0"/>
        <v/>
      </c>
      <c r="AM15" s="232" t="str">
        <f>IF(AF15&lt;&gt;"",IF(ISNUMBER(T15),COUNT(AM$2:AM14)+1,""),"")</f>
        <v/>
      </c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  <c r="CK15" s="231"/>
      <c r="CL15" s="231"/>
      <c r="CM15" s="231"/>
      <c r="CN15" s="231"/>
      <c r="CO15" s="231"/>
      <c r="CP15" s="231"/>
      <c r="CQ15" s="231"/>
      <c r="CR15" s="231"/>
      <c r="CS15" s="231"/>
      <c r="CT15" s="231"/>
      <c r="CU15" s="231"/>
      <c r="CV15" s="231"/>
    </row>
    <row r="16" spans="1:100" ht="14.1" customHeight="1" x14ac:dyDescent="0.15">
      <c r="Q16"/>
      <c r="T16"/>
      <c r="AF16"/>
      <c r="AG16"/>
      <c r="AH16"/>
      <c r="AI16" s="232" t="str">
        <f>_xlfn.IFNA(IF(INDEX(製品仕様マスタ!C:C,MATCH(W2Pデータ貼り付け!T16,製品仕様マスタ!B:B,0))=0,"",INDEX(製品仕様マスタ!C:C,MATCH(W2Pデータ貼り付け!T16,製品仕様マスタ!B:B,0))),"")</f>
        <v/>
      </c>
      <c r="AJ16" s="232" t="str">
        <f>_xlfn.IFNA(IF(INDEX(製品仕様マスタ!AK:AK,MATCH(W2Pデータ貼り付け!T16,製品仕様マスタ!B:B,0))=0,"",INDEX(製品仕様マスタ!AK:AK,MATCH(W2Pデータ貼り付け!T16,製品仕様マスタ!B:B,0))),"")</f>
        <v/>
      </c>
      <c r="AK16" s="233" t="str">
        <f>_xlfn.IFNA(IF(INDEX(製品仕様マスタ!AY:AY,MATCH(W2Pデータ貼り付け!T16,製品仕様マスタ!B:B,0))=0,"",IF(INDEX(製品仕様マスタ!AY:AY,MATCH(W2Pデータ貼り付け!T16,製品仕様マスタ!B:B,0)) &lt;&gt; "-",INDEX(製品仕様マスタ!AY:AY,MATCH(W2Pデータ貼り付け!T16,製品仕様マスタ!B:B,0)),INDEX(製品仕様マスタ!AZ$1:BZ$500,MATCH(W2Pデータ貼り付け!T16,製品仕様マスタ!B:B,0),MATCH(W2Pデータ貼り付け!V16,製品仕様マスタ!AZ$1:BZ$1,0)))),"")</f>
        <v/>
      </c>
      <c r="AL16" s="232" t="str">
        <f t="shared" si="0"/>
        <v/>
      </c>
      <c r="AM16" s="232" t="str">
        <f>IF(AF16&lt;&gt;"",IF(ISNUMBER(T16),COUNT(AM$2:AM15)+1,""),"")</f>
        <v/>
      </c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  <c r="CK16" s="231"/>
      <c r="CL16" s="231"/>
      <c r="CM16" s="231"/>
      <c r="CN16" s="231"/>
      <c r="CO16" s="231"/>
      <c r="CP16" s="231"/>
      <c r="CQ16" s="231"/>
      <c r="CR16" s="231"/>
      <c r="CS16" s="231"/>
      <c r="CT16" s="231"/>
      <c r="CU16" s="231"/>
      <c r="CV16" s="231"/>
    </row>
    <row r="17" spans="17:100" ht="14.1" customHeight="1" x14ac:dyDescent="0.15">
      <c r="Q17"/>
      <c r="T17"/>
      <c r="AF17"/>
      <c r="AG17"/>
      <c r="AH17"/>
      <c r="AI17" s="232" t="str">
        <f>_xlfn.IFNA(IF(INDEX(製品仕様マスタ!C:C,MATCH(W2Pデータ貼り付け!T17,製品仕様マスタ!B:B,0))=0,"",INDEX(製品仕様マスタ!C:C,MATCH(W2Pデータ貼り付け!T17,製品仕様マスタ!B:B,0))),"")</f>
        <v/>
      </c>
      <c r="AJ17" s="232" t="str">
        <f>_xlfn.IFNA(IF(INDEX(製品仕様マスタ!AK:AK,MATCH(W2Pデータ貼り付け!T17,製品仕様マスタ!B:B,0))=0,"",INDEX(製品仕様マスタ!AK:AK,MATCH(W2Pデータ貼り付け!T17,製品仕様マスタ!B:B,0))),"")</f>
        <v/>
      </c>
      <c r="AK17" s="233" t="str">
        <f>_xlfn.IFNA(IF(INDEX(製品仕様マスタ!AY:AY,MATCH(W2Pデータ貼り付け!T17,製品仕様マスタ!B:B,0))=0,"",IF(INDEX(製品仕様マスタ!AY:AY,MATCH(W2Pデータ貼り付け!T17,製品仕様マスタ!B:B,0)) &lt;&gt; "-",INDEX(製品仕様マスタ!AY:AY,MATCH(W2Pデータ貼り付け!T17,製品仕様マスタ!B:B,0)),INDEX(製品仕様マスタ!AZ$1:BZ$500,MATCH(W2Pデータ貼り付け!T17,製品仕様マスタ!B:B,0),MATCH(W2Pデータ貼り付け!V17,製品仕様マスタ!AZ$1:BZ$1,0)))),"")</f>
        <v/>
      </c>
      <c r="AL17" s="232" t="str">
        <f t="shared" si="0"/>
        <v/>
      </c>
      <c r="AM17" s="232" t="str">
        <f>IF(AF17&lt;&gt;"",IF(ISNUMBER(T17),COUNT(AM$2:AM16)+1,""),"")</f>
        <v/>
      </c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  <c r="CK17" s="231"/>
      <c r="CL17" s="231"/>
      <c r="CM17" s="231"/>
      <c r="CN17" s="231"/>
      <c r="CO17" s="231"/>
      <c r="CP17" s="231"/>
      <c r="CQ17" s="231"/>
      <c r="CR17" s="231"/>
      <c r="CS17" s="231"/>
      <c r="CT17" s="231"/>
      <c r="CU17" s="231"/>
      <c r="CV17" s="231"/>
    </row>
    <row r="18" spans="17:100" ht="14.1" customHeight="1" x14ac:dyDescent="0.15">
      <c r="Q18"/>
      <c r="T18"/>
      <c r="AF18"/>
      <c r="AG18"/>
      <c r="AH18"/>
      <c r="AI18" s="232" t="str">
        <f>_xlfn.IFNA(IF(INDEX(製品仕様マスタ!C:C,MATCH(W2Pデータ貼り付け!T18,製品仕様マスタ!B:B,0))=0,"",INDEX(製品仕様マスタ!C:C,MATCH(W2Pデータ貼り付け!T18,製品仕様マスタ!B:B,0))),"")</f>
        <v/>
      </c>
      <c r="AJ18" s="232" t="str">
        <f>_xlfn.IFNA(IF(INDEX(製品仕様マスタ!AK:AK,MATCH(W2Pデータ貼り付け!T18,製品仕様マスタ!B:B,0))=0,"",INDEX(製品仕様マスタ!AK:AK,MATCH(W2Pデータ貼り付け!T18,製品仕様マスタ!B:B,0))),"")</f>
        <v/>
      </c>
      <c r="AK18" s="233" t="str">
        <f>_xlfn.IFNA(IF(INDEX(製品仕様マスタ!AY:AY,MATCH(W2Pデータ貼り付け!T18,製品仕様マスタ!B:B,0))=0,"",IF(INDEX(製品仕様マスタ!AY:AY,MATCH(W2Pデータ貼り付け!T18,製品仕様マスタ!B:B,0)) &lt;&gt; "-",INDEX(製品仕様マスタ!AY:AY,MATCH(W2Pデータ貼り付け!T18,製品仕様マスタ!B:B,0)),INDEX(製品仕様マスタ!AZ$1:BZ$500,MATCH(W2Pデータ貼り付け!T18,製品仕様マスタ!B:B,0),MATCH(W2Pデータ貼り付け!V18,製品仕様マスタ!AZ$1:BZ$1,0)))),"")</f>
        <v/>
      </c>
      <c r="AL18" s="232" t="str">
        <f>IFERROR(V18*AK18,"")</f>
        <v/>
      </c>
      <c r="AM18" s="232" t="str">
        <f>IF(AF18&lt;&gt;"",IF(ISNUMBER(T18),COUNT(AM$2:AM17)+1,""),"")</f>
        <v/>
      </c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  <c r="CK18" s="231"/>
      <c r="CL18" s="231"/>
      <c r="CM18" s="231"/>
      <c r="CN18" s="231"/>
      <c r="CO18" s="231"/>
      <c r="CP18" s="231"/>
      <c r="CQ18" s="231"/>
      <c r="CR18" s="231"/>
      <c r="CS18" s="231"/>
      <c r="CT18" s="231"/>
      <c r="CU18" s="231"/>
      <c r="CV18" s="231"/>
    </row>
    <row r="19" spans="17:100" ht="14.1" customHeight="1" x14ac:dyDescent="0.15">
      <c r="Q19"/>
      <c r="T19"/>
      <c r="AF19"/>
      <c r="AG19"/>
      <c r="AH19"/>
      <c r="AI19" s="232" t="str">
        <f>_xlfn.IFNA(IF(INDEX(製品仕様マスタ!C:C,MATCH(W2Pデータ貼り付け!T19,製品仕様マスタ!B:B,0))=0,"",INDEX(製品仕様マスタ!C:C,MATCH(W2Pデータ貼り付け!T19,製品仕様マスタ!B:B,0))),"")</f>
        <v/>
      </c>
      <c r="AJ19" s="232" t="str">
        <f>_xlfn.IFNA(IF(INDEX(製品仕様マスタ!AK:AK,MATCH(W2Pデータ貼り付け!T19,製品仕様マスタ!B:B,0))=0,"",INDEX(製品仕様マスタ!AK:AK,MATCH(W2Pデータ貼り付け!T19,製品仕様マスタ!B:B,0))),"")</f>
        <v/>
      </c>
      <c r="AK19" s="233" t="str">
        <f>_xlfn.IFNA(IF(INDEX(製品仕様マスタ!AY:AY,MATCH(W2Pデータ貼り付け!T19,製品仕様マスタ!B:B,0))=0,"",IF(INDEX(製品仕様マスタ!AY:AY,MATCH(W2Pデータ貼り付け!T19,製品仕様マスタ!B:B,0)) &lt;&gt; "-",INDEX(製品仕様マスタ!AY:AY,MATCH(W2Pデータ貼り付け!T19,製品仕様マスタ!B:B,0)),INDEX(製品仕様マスタ!AZ$1:BZ$500,MATCH(W2Pデータ貼り付け!T19,製品仕様マスタ!B:B,0),MATCH(W2Pデータ貼り付け!V19,製品仕様マスタ!AZ$1:BZ$1,0)))),"")</f>
        <v/>
      </c>
      <c r="AL19" s="232" t="str">
        <f>IFERROR(V19*AK19,"")</f>
        <v/>
      </c>
      <c r="AM19" s="232" t="str">
        <f>IF(AF19&lt;&gt;"",IF(ISNUMBER(T19),COUNT(AM$2:AM18)+1,""),"")</f>
        <v/>
      </c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  <c r="CK19" s="231"/>
      <c r="CL19" s="231"/>
      <c r="CM19" s="231"/>
      <c r="CN19" s="231"/>
      <c r="CO19" s="231"/>
      <c r="CP19" s="231"/>
      <c r="CQ19" s="231"/>
      <c r="CR19" s="231"/>
      <c r="CS19" s="231"/>
      <c r="CT19" s="231"/>
      <c r="CU19" s="231"/>
      <c r="CV19" s="231"/>
    </row>
    <row r="20" spans="17:100" ht="14.1" customHeight="1" x14ac:dyDescent="0.15">
      <c r="Q20"/>
      <c r="T20"/>
      <c r="AF20"/>
      <c r="AG20"/>
      <c r="AH20"/>
      <c r="AI20" s="232" t="str">
        <f>_xlfn.IFNA(IF(INDEX(製品仕様マスタ!C:C,MATCH(W2Pデータ貼り付け!T20,製品仕様マスタ!B:B,0))=0,"",INDEX(製品仕様マスタ!C:C,MATCH(W2Pデータ貼り付け!T20,製品仕様マスタ!B:B,0))),"")</f>
        <v/>
      </c>
      <c r="AJ20" s="232" t="str">
        <f>_xlfn.IFNA(IF(INDEX(製品仕様マスタ!AK:AK,MATCH(W2Pデータ貼り付け!T20,製品仕様マスタ!B:B,0))=0,"",INDEX(製品仕様マスタ!AK:AK,MATCH(W2Pデータ貼り付け!T20,製品仕様マスタ!B:B,0))),"")</f>
        <v/>
      </c>
      <c r="AK20" s="233" t="str">
        <f>_xlfn.IFNA(IF(INDEX(製品仕様マスタ!AY:AY,MATCH(W2Pデータ貼り付け!T20,製品仕様マスタ!B:B,0))=0,"",IF(INDEX(製品仕様マスタ!AY:AY,MATCH(W2Pデータ貼り付け!T20,製品仕様マスタ!B:B,0)) &lt;&gt; "-",INDEX(製品仕様マスタ!AY:AY,MATCH(W2Pデータ貼り付け!T20,製品仕様マスタ!B:B,0)),INDEX(製品仕様マスタ!AZ$1:BZ$500,MATCH(W2Pデータ貼り付け!T20,製品仕様マスタ!B:B,0),MATCH(W2Pデータ貼り付け!V20,製品仕様マスタ!AZ$1:BZ$1,0)))),"")</f>
        <v/>
      </c>
      <c r="AL20" s="232" t="str">
        <f>IFERROR(V20*AK20,"")</f>
        <v/>
      </c>
      <c r="AM20" s="232" t="str">
        <f>IF(AF20&lt;&gt;"",IF(ISNUMBER(T20),COUNT(AM$2:AM19)+1,""),"")</f>
        <v/>
      </c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  <c r="CK20" s="231"/>
      <c r="CL20" s="231"/>
      <c r="CM20" s="231"/>
      <c r="CN20" s="231"/>
      <c r="CO20" s="231"/>
      <c r="CP20" s="231"/>
      <c r="CQ20" s="231"/>
      <c r="CR20" s="231"/>
      <c r="CS20" s="231"/>
      <c r="CT20" s="231"/>
      <c r="CU20" s="231"/>
      <c r="CV20" s="231"/>
    </row>
    <row r="21" spans="17:100" ht="14.1" customHeight="1" x14ac:dyDescent="0.15">
      <c r="Q21"/>
      <c r="T21"/>
      <c r="AF21"/>
      <c r="AG21"/>
      <c r="AH21"/>
      <c r="AI21" s="232" t="str">
        <f>_xlfn.IFNA(IF(INDEX(製品仕様マスタ!C:C,MATCH(W2Pデータ貼り付け!T21,製品仕様マスタ!B:B,0))=0,"",INDEX(製品仕様マスタ!C:C,MATCH(W2Pデータ貼り付け!T21,製品仕様マスタ!B:B,0))),"")</f>
        <v/>
      </c>
      <c r="AJ21" s="232" t="str">
        <f>_xlfn.IFNA(IF(INDEX(製品仕様マスタ!AK:AK,MATCH(W2Pデータ貼り付け!T21,製品仕様マスタ!B:B,0))=0,"",INDEX(製品仕様マスタ!AK:AK,MATCH(W2Pデータ貼り付け!T21,製品仕様マスタ!B:B,0))),"")</f>
        <v/>
      </c>
      <c r="AK21" s="233" t="str">
        <f>_xlfn.IFNA(IF(INDEX(製品仕様マスタ!AY:AY,MATCH(W2Pデータ貼り付け!T21,製品仕様マスタ!B:B,0))=0,"",IF(INDEX(製品仕様マスタ!AY:AY,MATCH(W2Pデータ貼り付け!T21,製品仕様マスタ!B:B,0)) &lt;&gt; "-",INDEX(製品仕様マスタ!AY:AY,MATCH(W2Pデータ貼り付け!T21,製品仕様マスタ!B:B,0)),INDEX(製品仕様マスタ!AZ$1:BZ$500,MATCH(W2Pデータ貼り付け!T21,製品仕様マスタ!B:B,0),MATCH(W2Pデータ貼り付け!V21,製品仕様マスタ!AZ$1:BZ$1,0)))),"")</f>
        <v/>
      </c>
      <c r="AL21" s="232" t="str">
        <f t="shared" si="0"/>
        <v/>
      </c>
      <c r="AM21" s="232" t="str">
        <f>IF(AF21&lt;&gt;"",IF(ISNUMBER(T21),COUNT(AM$2:AM20)+1,""),"")</f>
        <v/>
      </c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  <c r="CK21" s="231"/>
      <c r="CL21" s="231"/>
      <c r="CM21" s="231"/>
      <c r="CN21" s="231"/>
      <c r="CO21" s="231"/>
      <c r="CP21" s="231"/>
      <c r="CQ21" s="231"/>
      <c r="CR21" s="231"/>
      <c r="CS21" s="231"/>
      <c r="CT21" s="231"/>
      <c r="CU21" s="231"/>
      <c r="CV21" s="231"/>
    </row>
    <row r="22" spans="17:100" ht="14.1" customHeight="1" x14ac:dyDescent="0.15">
      <c r="Q22"/>
      <c r="T22"/>
      <c r="AF22"/>
      <c r="AG22"/>
      <c r="AH22"/>
      <c r="AI22" s="232" t="str">
        <f>_xlfn.IFNA(IF(INDEX(製品仕様マスタ!C:C,MATCH(W2Pデータ貼り付け!T22,製品仕様マスタ!B:B,0))=0,"",INDEX(製品仕様マスタ!C:C,MATCH(W2Pデータ貼り付け!T22,製品仕様マスタ!B:B,0))),"")</f>
        <v/>
      </c>
      <c r="AJ22" s="232" t="str">
        <f>_xlfn.IFNA(IF(INDEX(製品仕様マスタ!AK:AK,MATCH(W2Pデータ貼り付け!T22,製品仕様マスタ!B:B,0))=0,"",INDEX(製品仕様マスタ!AK:AK,MATCH(W2Pデータ貼り付け!T22,製品仕様マスタ!B:B,0))),"")</f>
        <v/>
      </c>
      <c r="AK22" s="233" t="str">
        <f>_xlfn.IFNA(IF(INDEX(製品仕様マスタ!AY:AY,MATCH(W2Pデータ貼り付け!T22,製品仕様マスタ!B:B,0))=0,"",IF(INDEX(製品仕様マスタ!AY:AY,MATCH(W2Pデータ貼り付け!T22,製品仕様マスタ!B:B,0)) &lt;&gt; "-",INDEX(製品仕様マスタ!AY:AY,MATCH(W2Pデータ貼り付け!T22,製品仕様マスタ!B:B,0)),INDEX(製品仕様マスタ!AZ$1:BZ$500,MATCH(W2Pデータ貼り付け!T22,製品仕様マスタ!B:B,0),MATCH(W2Pデータ貼り付け!V22,製品仕様マスタ!AZ$1:BZ$1,0)))),"")</f>
        <v/>
      </c>
      <c r="AL22" s="232" t="str">
        <f t="shared" si="0"/>
        <v/>
      </c>
      <c r="AM22" s="232" t="str">
        <f>IF(AF22&lt;&gt;"",IF(ISNUMBER(T22),COUNT(AM$2:AM21)+1,""),"")</f>
        <v/>
      </c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  <c r="CK22" s="231"/>
      <c r="CL22" s="231"/>
      <c r="CM22" s="231"/>
      <c r="CN22" s="231"/>
      <c r="CO22" s="231"/>
      <c r="CP22" s="231"/>
      <c r="CQ22" s="231"/>
      <c r="CR22" s="231"/>
      <c r="CS22" s="231"/>
      <c r="CT22" s="231"/>
      <c r="CU22" s="231"/>
      <c r="CV22" s="231"/>
    </row>
    <row r="23" spans="17:100" ht="14.1" customHeight="1" x14ac:dyDescent="0.15">
      <c r="Q23"/>
      <c r="T23"/>
      <c r="AF23"/>
      <c r="AG23"/>
      <c r="AH23"/>
      <c r="AI23" s="232" t="str">
        <f>_xlfn.IFNA(IF(INDEX(製品仕様マスタ!C:C,MATCH(W2Pデータ貼り付け!T23,製品仕様マスタ!B:B,0))=0,"",INDEX(製品仕様マスタ!C:C,MATCH(W2Pデータ貼り付け!T23,製品仕様マスタ!B:B,0))),"")</f>
        <v/>
      </c>
      <c r="AJ23" s="232" t="str">
        <f>_xlfn.IFNA(IF(INDEX(製品仕様マスタ!AK:AK,MATCH(W2Pデータ貼り付け!T23,製品仕様マスタ!B:B,0))=0,"",INDEX(製品仕様マスタ!AK:AK,MATCH(W2Pデータ貼り付け!T23,製品仕様マスタ!B:B,0))),"")</f>
        <v/>
      </c>
      <c r="AK23" s="233" t="str">
        <f>_xlfn.IFNA(IF(INDEX(製品仕様マスタ!AY:AY,MATCH(W2Pデータ貼り付け!T23,製品仕様マスタ!B:B,0))=0,"",IF(INDEX(製品仕様マスタ!AY:AY,MATCH(W2Pデータ貼り付け!T23,製品仕様マスタ!B:B,0)) &lt;&gt; "-",INDEX(製品仕様マスタ!AY:AY,MATCH(W2Pデータ貼り付け!T23,製品仕様マスタ!B:B,0)),INDEX(製品仕様マスタ!AZ$1:BZ$500,MATCH(W2Pデータ貼り付け!T23,製品仕様マスタ!B:B,0),MATCH(W2Pデータ貼り付け!V23,製品仕様マスタ!AZ$1:BZ$1,0)))),"")</f>
        <v/>
      </c>
      <c r="AL23" s="232" t="str">
        <f t="shared" si="0"/>
        <v/>
      </c>
      <c r="AM23" s="232" t="str">
        <f>IF(AF23&lt;&gt;"",IF(ISNUMBER(T23),COUNT(AM$2:AM22)+1,""),"")</f>
        <v/>
      </c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  <c r="CK23" s="231"/>
      <c r="CL23" s="231"/>
      <c r="CM23" s="231"/>
      <c r="CN23" s="231"/>
      <c r="CO23" s="231"/>
      <c r="CP23" s="231"/>
      <c r="CQ23" s="231"/>
      <c r="CR23" s="231"/>
      <c r="CS23" s="231"/>
      <c r="CT23" s="231"/>
      <c r="CU23" s="231"/>
      <c r="CV23" s="231"/>
    </row>
    <row r="24" spans="17:100" ht="14.1" customHeight="1" x14ac:dyDescent="0.15">
      <c r="Q24"/>
      <c r="T24"/>
      <c r="AF24"/>
      <c r="AG24"/>
      <c r="AH24"/>
      <c r="AI24" s="232" t="str">
        <f>_xlfn.IFNA(IF(INDEX(製品仕様マスタ!C:C,MATCH(W2Pデータ貼り付け!T24,製品仕様マスタ!B:B,0))=0,"",INDEX(製品仕様マスタ!C:C,MATCH(W2Pデータ貼り付け!T24,製品仕様マスタ!B:B,0))),"")</f>
        <v/>
      </c>
      <c r="AJ24" s="232" t="str">
        <f>_xlfn.IFNA(IF(INDEX(製品仕様マスタ!AK:AK,MATCH(W2Pデータ貼り付け!T24,製品仕様マスタ!B:B,0))=0,"",INDEX(製品仕様マスタ!AK:AK,MATCH(W2Pデータ貼り付け!T24,製品仕様マスタ!B:B,0))),"")</f>
        <v/>
      </c>
      <c r="AK24" s="233" t="str">
        <f>_xlfn.IFNA(IF(INDEX(製品仕様マスタ!AY:AY,MATCH(W2Pデータ貼り付け!T24,製品仕様マスタ!B:B,0))=0,"",IF(INDEX(製品仕様マスタ!AY:AY,MATCH(W2Pデータ貼り付け!T24,製品仕様マスタ!B:B,0)) &lt;&gt; "-",INDEX(製品仕様マスタ!AY:AY,MATCH(W2Pデータ貼り付け!T24,製品仕様マスタ!B:B,0)),INDEX(製品仕様マスタ!AZ$1:BZ$500,MATCH(W2Pデータ貼り付け!T24,製品仕様マスタ!B:B,0),MATCH(W2Pデータ貼り付け!V24,製品仕様マスタ!AZ$1:BZ$1,0)))),"")</f>
        <v/>
      </c>
      <c r="AL24" s="232" t="str">
        <f t="shared" si="0"/>
        <v/>
      </c>
      <c r="AM24" s="232" t="str">
        <f>IF(AF24&lt;&gt;"",IF(ISNUMBER(T24),COUNT(AM$2:AM23)+1,""),"")</f>
        <v/>
      </c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  <c r="CK24" s="231"/>
      <c r="CL24" s="231"/>
      <c r="CM24" s="231"/>
      <c r="CN24" s="231"/>
      <c r="CO24" s="231"/>
      <c r="CP24" s="231"/>
      <c r="CQ24" s="231"/>
      <c r="CR24" s="231"/>
      <c r="CS24" s="231"/>
      <c r="CT24" s="231"/>
      <c r="CU24" s="231"/>
      <c r="CV24" s="231"/>
    </row>
    <row r="25" spans="17:100" ht="14.1" customHeight="1" x14ac:dyDescent="0.15">
      <c r="Q25"/>
      <c r="T25"/>
      <c r="AF25"/>
      <c r="AG25"/>
      <c r="AH25"/>
      <c r="AI25" s="232" t="str">
        <f>_xlfn.IFNA(IF(INDEX(製品仕様マスタ!C:C,MATCH(W2Pデータ貼り付け!T25,製品仕様マスタ!B:B,0))=0,"",INDEX(製品仕様マスタ!C:C,MATCH(W2Pデータ貼り付け!T25,製品仕様マスタ!B:B,0))),"")</f>
        <v/>
      </c>
      <c r="AJ25" s="232" t="str">
        <f>_xlfn.IFNA(IF(INDEX(製品仕様マスタ!AK:AK,MATCH(W2Pデータ貼り付け!T25,製品仕様マスタ!B:B,0))=0,"",INDEX(製品仕様マスタ!AK:AK,MATCH(W2Pデータ貼り付け!T25,製品仕様マスタ!B:B,0))),"")</f>
        <v/>
      </c>
      <c r="AK25" s="233" t="str">
        <f>_xlfn.IFNA(IF(INDEX(製品仕様マスタ!AY:AY,MATCH(W2Pデータ貼り付け!T25,製品仕様マスタ!B:B,0))=0,"",IF(INDEX(製品仕様マスタ!AY:AY,MATCH(W2Pデータ貼り付け!T25,製品仕様マスタ!B:B,0)) &lt;&gt; "-",INDEX(製品仕様マスタ!AY:AY,MATCH(W2Pデータ貼り付け!T25,製品仕様マスタ!B:B,0)),INDEX(製品仕様マスタ!AZ$1:BZ$500,MATCH(W2Pデータ貼り付け!T25,製品仕様マスタ!B:B,0),MATCH(W2Pデータ貼り付け!V25,製品仕様マスタ!AZ$1:BZ$1,0)))),"")</f>
        <v/>
      </c>
      <c r="AL25" s="232" t="str">
        <f t="shared" si="0"/>
        <v/>
      </c>
      <c r="AM25" s="232" t="str">
        <f>IF(AF25&lt;&gt;"",IF(ISNUMBER(T25),COUNT(AM$2:AM24)+1,""),"")</f>
        <v/>
      </c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  <c r="CK25" s="231"/>
      <c r="CL25" s="231"/>
      <c r="CM25" s="231"/>
      <c r="CN25" s="231"/>
      <c r="CO25" s="231"/>
      <c r="CP25" s="231"/>
      <c r="CQ25" s="231"/>
      <c r="CR25" s="231"/>
      <c r="CS25" s="231"/>
      <c r="CT25" s="231"/>
      <c r="CU25" s="231"/>
      <c r="CV25" s="231"/>
    </row>
    <row r="26" spans="17:100" ht="14.1" customHeight="1" x14ac:dyDescent="0.15">
      <c r="Q26"/>
      <c r="T26"/>
      <c r="AF26"/>
      <c r="AG26"/>
      <c r="AH26"/>
      <c r="AI26" s="232" t="str">
        <f>_xlfn.IFNA(IF(INDEX(製品仕様マスタ!C:C,MATCH(W2Pデータ貼り付け!T26,製品仕様マスタ!B:B,0))=0,"",INDEX(製品仕様マスタ!C:C,MATCH(W2Pデータ貼り付け!T26,製品仕様マスタ!B:B,0))),"")</f>
        <v/>
      </c>
      <c r="AJ26" s="232" t="str">
        <f>_xlfn.IFNA(IF(INDEX(製品仕様マスタ!AK:AK,MATCH(W2Pデータ貼り付け!T26,製品仕様マスタ!B:B,0))=0,"",INDEX(製品仕様マスタ!AK:AK,MATCH(W2Pデータ貼り付け!T26,製品仕様マスタ!B:B,0))),"")</f>
        <v/>
      </c>
      <c r="AK26" s="233" t="str">
        <f>_xlfn.IFNA(IF(INDEX(製品仕様マスタ!AY:AY,MATCH(W2Pデータ貼り付け!T26,製品仕様マスタ!B:B,0))=0,"",IF(INDEX(製品仕様マスタ!AY:AY,MATCH(W2Pデータ貼り付け!T26,製品仕様マスタ!B:B,0)) &lt;&gt; "-",INDEX(製品仕様マスタ!AY:AY,MATCH(W2Pデータ貼り付け!T26,製品仕様マスタ!B:B,0)),INDEX(製品仕様マスタ!AZ$1:BZ$500,MATCH(W2Pデータ貼り付け!T26,製品仕様マスタ!B:B,0),MATCH(W2Pデータ貼り付け!V26,製品仕様マスタ!AZ$1:BZ$1,0)))),"")</f>
        <v/>
      </c>
      <c r="AL26" s="232" t="str">
        <f t="shared" si="0"/>
        <v/>
      </c>
      <c r="AM26" s="232" t="str">
        <f>IF(AF26&lt;&gt;"",IF(ISNUMBER(T26),COUNT(AM$2:AM25)+1,""),"")</f>
        <v/>
      </c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  <c r="CK26" s="231"/>
      <c r="CL26" s="231"/>
      <c r="CM26" s="231"/>
      <c r="CN26" s="231"/>
      <c r="CO26" s="231"/>
      <c r="CP26" s="231"/>
      <c r="CQ26" s="231"/>
      <c r="CR26" s="231"/>
      <c r="CS26" s="231"/>
      <c r="CT26" s="231"/>
      <c r="CU26" s="231"/>
      <c r="CV26" s="231"/>
    </row>
    <row r="27" spans="17:100" ht="14.1" customHeight="1" x14ac:dyDescent="0.15">
      <c r="Q27"/>
      <c r="T27"/>
      <c r="AF27"/>
      <c r="AG27"/>
      <c r="AH27"/>
      <c r="AI27" s="232" t="str">
        <f>_xlfn.IFNA(IF(INDEX(製品仕様マスタ!C:C,MATCH(W2Pデータ貼り付け!T27,製品仕様マスタ!B:B,0))=0,"",INDEX(製品仕様マスタ!C:C,MATCH(W2Pデータ貼り付け!T27,製品仕様マスタ!B:B,0))),"")</f>
        <v/>
      </c>
      <c r="AJ27" s="232" t="str">
        <f>_xlfn.IFNA(IF(INDEX(製品仕様マスタ!AK:AK,MATCH(W2Pデータ貼り付け!T27,製品仕様マスタ!B:B,0))=0,"",INDEX(製品仕様マスタ!AK:AK,MATCH(W2Pデータ貼り付け!T27,製品仕様マスタ!B:B,0))),"")</f>
        <v/>
      </c>
      <c r="AK27" s="233" t="str">
        <f>_xlfn.IFNA(IF(INDEX(製品仕様マスタ!AY:AY,MATCH(W2Pデータ貼り付け!T27,製品仕様マスタ!B:B,0))=0,"",IF(INDEX(製品仕様マスタ!AY:AY,MATCH(W2Pデータ貼り付け!T27,製品仕様マスタ!B:B,0)) &lt;&gt; "-",INDEX(製品仕様マスタ!AY:AY,MATCH(W2Pデータ貼り付け!T27,製品仕様マスタ!B:B,0)),INDEX(製品仕様マスタ!AZ$1:BZ$500,MATCH(W2Pデータ貼り付け!T27,製品仕様マスタ!B:B,0),MATCH(W2Pデータ貼り付け!V27,製品仕様マスタ!AZ$1:BZ$1,0)))),"")</f>
        <v/>
      </c>
      <c r="AL27" s="232" t="str">
        <f t="shared" si="0"/>
        <v/>
      </c>
      <c r="AM27" s="232" t="str">
        <f>IF(AF27&lt;&gt;"",IF(ISNUMBER(T27),COUNT(AM$2:AM26)+1,""),"")</f>
        <v/>
      </c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  <c r="CK27" s="231"/>
      <c r="CL27" s="231"/>
      <c r="CM27" s="231"/>
      <c r="CN27" s="231"/>
      <c r="CO27" s="231"/>
      <c r="CP27" s="231"/>
      <c r="CQ27" s="231"/>
      <c r="CR27" s="231"/>
      <c r="CS27" s="231"/>
      <c r="CT27" s="231"/>
      <c r="CU27" s="231"/>
      <c r="CV27" s="231"/>
    </row>
    <row r="28" spans="17:100" ht="14.1" customHeight="1" x14ac:dyDescent="0.15">
      <c r="Q28"/>
      <c r="T28"/>
      <c r="AF28"/>
      <c r="AG28"/>
      <c r="AH28"/>
      <c r="AI28" s="232" t="str">
        <f>_xlfn.IFNA(IF(INDEX(製品仕様マスタ!C:C,MATCH(W2Pデータ貼り付け!T28,製品仕様マスタ!B:B,0))=0,"",INDEX(製品仕様マスタ!C:C,MATCH(W2Pデータ貼り付け!T28,製品仕様マスタ!B:B,0))),"")</f>
        <v/>
      </c>
      <c r="AJ28" s="232" t="str">
        <f>_xlfn.IFNA(IF(INDEX(製品仕様マスタ!AK:AK,MATCH(W2Pデータ貼り付け!T28,製品仕様マスタ!B:B,0))=0,"",INDEX(製品仕様マスタ!AK:AK,MATCH(W2Pデータ貼り付け!T28,製品仕様マスタ!B:B,0))),"")</f>
        <v/>
      </c>
      <c r="AK28" s="233" t="str">
        <f>_xlfn.IFNA(IF(INDEX(製品仕様マスタ!AY:AY,MATCH(W2Pデータ貼り付け!T28,製品仕様マスタ!B:B,0))=0,"",IF(INDEX(製品仕様マスタ!AY:AY,MATCH(W2Pデータ貼り付け!T28,製品仕様マスタ!B:B,0)) &lt;&gt; "-",INDEX(製品仕様マスタ!AY:AY,MATCH(W2Pデータ貼り付け!T28,製品仕様マスタ!B:B,0)),INDEX(製品仕様マスタ!AZ$1:BZ$500,MATCH(W2Pデータ貼り付け!T28,製品仕様マスタ!B:B,0),MATCH(W2Pデータ貼り付け!V28,製品仕様マスタ!AZ$1:BZ$1,0)))),"")</f>
        <v/>
      </c>
      <c r="AL28" s="232" t="str">
        <f t="shared" si="0"/>
        <v/>
      </c>
      <c r="AM28" s="232" t="str">
        <f>IF(AF28&lt;&gt;"",IF(ISNUMBER(T28),COUNT(AM$2:AM27)+1,""),"")</f>
        <v/>
      </c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  <c r="CK28" s="231"/>
      <c r="CL28" s="231"/>
      <c r="CM28" s="231"/>
      <c r="CN28" s="231"/>
      <c r="CO28" s="231"/>
      <c r="CP28" s="231"/>
      <c r="CQ28" s="231"/>
      <c r="CR28" s="231"/>
      <c r="CS28" s="231"/>
      <c r="CT28" s="231"/>
      <c r="CU28" s="231"/>
      <c r="CV28" s="231"/>
    </row>
    <row r="29" spans="17:100" ht="14.1" customHeight="1" x14ac:dyDescent="0.15">
      <c r="Q29"/>
      <c r="T29"/>
      <c r="AF29"/>
      <c r="AG29"/>
      <c r="AH29"/>
      <c r="AI29" s="232" t="str">
        <f>_xlfn.IFNA(IF(INDEX(製品仕様マスタ!C:C,MATCH(W2Pデータ貼り付け!T29,製品仕様マスタ!B:B,0))=0,"",INDEX(製品仕様マスタ!C:C,MATCH(W2Pデータ貼り付け!T29,製品仕様マスタ!B:B,0))),"")</f>
        <v/>
      </c>
      <c r="AJ29" s="232" t="str">
        <f>_xlfn.IFNA(IF(INDEX(製品仕様マスタ!AK:AK,MATCH(W2Pデータ貼り付け!T29,製品仕様マスタ!B:B,0))=0,"",INDEX(製品仕様マスタ!AK:AK,MATCH(W2Pデータ貼り付け!T29,製品仕様マスタ!B:B,0))),"")</f>
        <v/>
      </c>
      <c r="AK29" s="233" t="str">
        <f>_xlfn.IFNA(IF(INDEX(製品仕様マスタ!AY:AY,MATCH(W2Pデータ貼り付け!T29,製品仕様マスタ!B:B,0))=0,"",IF(INDEX(製品仕様マスタ!AY:AY,MATCH(W2Pデータ貼り付け!T29,製品仕様マスタ!B:B,0)) &lt;&gt; "-",INDEX(製品仕様マスタ!AY:AY,MATCH(W2Pデータ貼り付け!T29,製品仕様マスタ!B:B,0)),INDEX(製品仕様マスタ!AZ$1:BZ$500,MATCH(W2Pデータ貼り付け!T29,製品仕様マスタ!B:B,0),MATCH(W2Pデータ貼り付け!V29,製品仕様マスタ!AZ$1:BZ$1,0)))),"")</f>
        <v/>
      </c>
      <c r="AL29" s="232" t="str">
        <f t="shared" si="0"/>
        <v/>
      </c>
      <c r="AM29" s="232" t="str">
        <f>IF(AF29&lt;&gt;"",IF(ISNUMBER(T29),COUNT(AM$2:AM28)+1,""),"")</f>
        <v/>
      </c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  <c r="CK29" s="231"/>
      <c r="CL29" s="231"/>
      <c r="CM29" s="231"/>
      <c r="CN29" s="231"/>
      <c r="CO29" s="231"/>
      <c r="CP29" s="231"/>
      <c r="CQ29" s="231"/>
      <c r="CR29" s="231"/>
      <c r="CS29" s="231"/>
      <c r="CT29" s="231"/>
      <c r="CU29" s="231"/>
      <c r="CV29" s="231"/>
    </row>
    <row r="30" spans="17:100" ht="14.1" customHeight="1" x14ac:dyDescent="0.15">
      <c r="Q30"/>
      <c r="T30"/>
      <c r="AF30"/>
      <c r="AG30"/>
      <c r="AH30"/>
      <c r="AI30" s="232" t="str">
        <f>_xlfn.IFNA(IF(INDEX(製品仕様マスタ!C:C,MATCH(W2Pデータ貼り付け!T30,製品仕様マスタ!B:B,0))=0,"",INDEX(製品仕様マスタ!C:C,MATCH(W2Pデータ貼り付け!T30,製品仕様マスタ!B:B,0))),"")</f>
        <v/>
      </c>
      <c r="AJ30" s="232" t="str">
        <f>_xlfn.IFNA(IF(INDEX(製品仕様マスタ!AK:AK,MATCH(W2Pデータ貼り付け!T30,製品仕様マスタ!B:B,0))=0,"",INDEX(製品仕様マスタ!AK:AK,MATCH(W2Pデータ貼り付け!T30,製品仕様マスタ!B:B,0))),"")</f>
        <v/>
      </c>
      <c r="AK30" s="233" t="str">
        <f>_xlfn.IFNA(IF(INDEX(製品仕様マスタ!AY:AY,MATCH(W2Pデータ貼り付け!T30,製品仕様マスタ!B:B,0))=0,"",IF(INDEX(製品仕様マスタ!AY:AY,MATCH(W2Pデータ貼り付け!T30,製品仕様マスタ!B:B,0)) &lt;&gt; "-",INDEX(製品仕様マスタ!AY:AY,MATCH(W2Pデータ貼り付け!T30,製品仕様マスタ!B:B,0)),INDEX(製品仕様マスタ!AZ$1:BZ$500,MATCH(W2Pデータ貼り付け!T30,製品仕様マスタ!B:B,0),MATCH(W2Pデータ貼り付け!V30,製品仕様マスタ!AZ$1:BZ$1,0)))),"")</f>
        <v/>
      </c>
      <c r="AL30" s="232" t="str">
        <f t="shared" si="0"/>
        <v/>
      </c>
      <c r="AM30" s="232" t="str">
        <f>IF(AF30&lt;&gt;"",IF(ISNUMBER(T30),COUNT(AM$2:AM29)+1,""),"")</f>
        <v/>
      </c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  <c r="CK30" s="231"/>
      <c r="CL30" s="231"/>
      <c r="CM30" s="231"/>
      <c r="CN30" s="231"/>
      <c r="CO30" s="231"/>
      <c r="CP30" s="231"/>
      <c r="CQ30" s="231"/>
      <c r="CR30" s="231"/>
      <c r="CS30" s="231"/>
      <c r="CT30" s="231"/>
      <c r="CU30" s="231"/>
      <c r="CV30" s="231"/>
    </row>
    <row r="31" spans="17:100" ht="14.1" customHeight="1" x14ac:dyDescent="0.15">
      <c r="Q31"/>
      <c r="T31"/>
      <c r="AF31"/>
      <c r="AG31"/>
      <c r="AH31"/>
      <c r="AI31" s="232" t="str">
        <f>_xlfn.IFNA(IF(INDEX(製品仕様マスタ!C:C,MATCH(W2Pデータ貼り付け!T31,製品仕様マスタ!B:B,0))=0,"",INDEX(製品仕様マスタ!C:C,MATCH(W2Pデータ貼り付け!T31,製品仕様マスタ!B:B,0))),"")</f>
        <v/>
      </c>
      <c r="AJ31" s="232" t="str">
        <f>_xlfn.IFNA(IF(INDEX(製品仕様マスタ!AK:AK,MATCH(W2Pデータ貼り付け!T31,製品仕様マスタ!B:B,0))=0,"",INDEX(製品仕様マスタ!AK:AK,MATCH(W2Pデータ貼り付け!T31,製品仕様マスタ!B:B,0))),"")</f>
        <v/>
      </c>
      <c r="AK31" s="233" t="str">
        <f>_xlfn.IFNA(IF(INDEX(製品仕様マスタ!AY:AY,MATCH(W2Pデータ貼り付け!T31,製品仕様マスタ!B:B,0))=0,"",IF(INDEX(製品仕様マスタ!AY:AY,MATCH(W2Pデータ貼り付け!T31,製品仕様マスタ!B:B,0)) &lt;&gt; "-",INDEX(製品仕様マスタ!AY:AY,MATCH(W2Pデータ貼り付け!T31,製品仕様マスタ!B:B,0)),INDEX(製品仕様マスタ!AZ$1:BZ$500,MATCH(W2Pデータ貼り付け!T31,製品仕様マスタ!B:B,0),MATCH(W2Pデータ貼り付け!V31,製品仕様マスタ!AZ$1:BZ$1,0)))),"")</f>
        <v/>
      </c>
      <c r="AL31" s="232" t="str">
        <f t="shared" si="0"/>
        <v/>
      </c>
      <c r="AM31" s="232" t="str">
        <f>IF(AF31&lt;&gt;"",IF(ISNUMBER(T31),COUNT(AM$2:AM30)+1,""),"")</f>
        <v/>
      </c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  <c r="CK31" s="231"/>
      <c r="CL31" s="231"/>
      <c r="CM31" s="231"/>
      <c r="CN31" s="231"/>
      <c r="CO31" s="231"/>
      <c r="CP31" s="231"/>
      <c r="CQ31" s="231"/>
      <c r="CR31" s="231"/>
      <c r="CS31" s="231"/>
      <c r="CT31" s="231"/>
      <c r="CU31" s="231"/>
      <c r="CV31" s="231"/>
    </row>
    <row r="32" spans="17:100" ht="14.1" customHeight="1" x14ac:dyDescent="0.15">
      <c r="Q32"/>
      <c r="T32"/>
      <c r="AF32"/>
      <c r="AG32"/>
      <c r="AH32"/>
      <c r="AI32" s="232" t="str">
        <f>_xlfn.IFNA(IF(INDEX(製品仕様マスタ!C:C,MATCH(W2Pデータ貼り付け!T32,製品仕様マスタ!B:B,0))=0,"",INDEX(製品仕様マスタ!C:C,MATCH(W2Pデータ貼り付け!T32,製品仕様マスタ!B:B,0))),"")</f>
        <v/>
      </c>
      <c r="AJ32" s="232" t="str">
        <f>_xlfn.IFNA(IF(INDEX(製品仕様マスタ!AK:AK,MATCH(W2Pデータ貼り付け!T32,製品仕様マスタ!B:B,0))=0,"",INDEX(製品仕様マスタ!AK:AK,MATCH(W2Pデータ貼り付け!T32,製品仕様マスタ!B:B,0))),"")</f>
        <v/>
      </c>
      <c r="AK32" s="233" t="str">
        <f>_xlfn.IFNA(IF(INDEX(製品仕様マスタ!AY:AY,MATCH(W2Pデータ貼り付け!T32,製品仕様マスタ!B:B,0))=0,"",IF(INDEX(製品仕様マスタ!AY:AY,MATCH(W2Pデータ貼り付け!T32,製品仕様マスタ!B:B,0)) &lt;&gt; "-",INDEX(製品仕様マスタ!AY:AY,MATCH(W2Pデータ貼り付け!T32,製品仕様マスタ!B:B,0)),INDEX(製品仕様マスタ!AZ$1:BZ$500,MATCH(W2Pデータ貼り付け!T32,製品仕様マスタ!B:B,0),MATCH(W2Pデータ貼り付け!V32,製品仕様マスタ!AZ$1:BZ$1,0)))),"")</f>
        <v/>
      </c>
      <c r="AL32" s="232" t="str">
        <f t="shared" si="0"/>
        <v/>
      </c>
      <c r="AM32" s="232" t="str">
        <f>IF(AF32&lt;&gt;"",IF(ISNUMBER(T32),COUNT(AM$2:AM31)+1,""),"")</f>
        <v/>
      </c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  <c r="CK32" s="231"/>
      <c r="CL32" s="231"/>
      <c r="CM32" s="231"/>
      <c r="CN32" s="231"/>
      <c r="CO32" s="231"/>
      <c r="CP32" s="231"/>
      <c r="CQ32" s="231"/>
      <c r="CR32" s="231"/>
      <c r="CS32" s="231"/>
      <c r="CT32" s="231"/>
      <c r="CU32" s="231"/>
      <c r="CV32" s="231"/>
    </row>
    <row r="33" spans="17:100" ht="14.1" customHeight="1" x14ac:dyDescent="0.15">
      <c r="Q33"/>
      <c r="T33"/>
      <c r="AF33"/>
      <c r="AG33"/>
      <c r="AH33"/>
      <c r="AI33" s="232" t="str">
        <f>_xlfn.IFNA(IF(INDEX(製品仕様マスタ!C:C,MATCH(W2Pデータ貼り付け!T33,製品仕様マスタ!B:B,0))=0,"",INDEX(製品仕様マスタ!C:C,MATCH(W2Pデータ貼り付け!T33,製品仕様マスタ!B:B,0))),"")</f>
        <v/>
      </c>
      <c r="AJ33" s="232" t="str">
        <f>_xlfn.IFNA(IF(INDEX(製品仕様マスタ!AK:AK,MATCH(W2Pデータ貼り付け!T33,製品仕様マスタ!B:B,0))=0,"",INDEX(製品仕様マスタ!AK:AK,MATCH(W2Pデータ貼り付け!T33,製品仕様マスタ!B:B,0))),"")</f>
        <v/>
      </c>
      <c r="AK33" s="233" t="str">
        <f>_xlfn.IFNA(IF(INDEX(製品仕様マスタ!AY:AY,MATCH(W2Pデータ貼り付け!T33,製品仕様マスタ!B:B,0))=0,"",IF(INDEX(製品仕様マスタ!AY:AY,MATCH(W2Pデータ貼り付け!T33,製品仕様マスタ!B:B,0)) &lt;&gt; "-",INDEX(製品仕様マスタ!AY:AY,MATCH(W2Pデータ貼り付け!T33,製品仕様マスタ!B:B,0)),INDEX(製品仕様マスタ!AZ$1:BZ$500,MATCH(W2Pデータ貼り付け!T33,製品仕様マスタ!B:B,0),MATCH(W2Pデータ貼り付け!V33,製品仕様マスタ!AZ$1:BZ$1,0)))),"")</f>
        <v/>
      </c>
      <c r="AL33" s="232" t="str">
        <f t="shared" si="0"/>
        <v/>
      </c>
      <c r="AM33" s="232" t="str">
        <f>IF(AF33&lt;&gt;"",IF(ISNUMBER(T33),COUNT(AM$2:AM32)+1,""),"")</f>
        <v/>
      </c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  <c r="CK33" s="231"/>
      <c r="CL33" s="231"/>
      <c r="CM33" s="231"/>
      <c r="CN33" s="231"/>
      <c r="CO33" s="231"/>
      <c r="CP33" s="231"/>
      <c r="CQ33" s="231"/>
      <c r="CR33" s="231"/>
      <c r="CS33" s="231"/>
      <c r="CT33" s="231"/>
      <c r="CU33" s="231"/>
      <c r="CV33" s="231"/>
    </row>
    <row r="34" spans="17:100" ht="14.1" customHeight="1" x14ac:dyDescent="0.15">
      <c r="Q34"/>
      <c r="T34"/>
      <c r="AF34"/>
      <c r="AG34"/>
      <c r="AH34"/>
      <c r="AI34" s="232" t="str">
        <f>_xlfn.IFNA(IF(INDEX(製品仕様マスタ!C:C,MATCH(W2Pデータ貼り付け!T34,製品仕様マスタ!B:B,0))=0,"",INDEX(製品仕様マスタ!C:C,MATCH(W2Pデータ貼り付け!T34,製品仕様マスタ!B:B,0))),"")</f>
        <v/>
      </c>
      <c r="AJ34" s="232" t="str">
        <f>_xlfn.IFNA(IF(INDEX(製品仕様マスタ!AK:AK,MATCH(W2Pデータ貼り付け!T34,製品仕様マスタ!B:B,0))=0,"",INDEX(製品仕様マスタ!AK:AK,MATCH(W2Pデータ貼り付け!T34,製品仕様マスタ!B:B,0))),"")</f>
        <v/>
      </c>
      <c r="AK34" s="233" t="str">
        <f>_xlfn.IFNA(IF(INDEX(製品仕様マスタ!AY:AY,MATCH(W2Pデータ貼り付け!T34,製品仕様マスタ!B:B,0))=0,"",IF(INDEX(製品仕様マスタ!AY:AY,MATCH(W2Pデータ貼り付け!T34,製品仕様マスタ!B:B,0)) &lt;&gt; "-",INDEX(製品仕様マスタ!AY:AY,MATCH(W2Pデータ貼り付け!T34,製品仕様マスタ!B:B,0)),INDEX(製品仕様マスタ!AZ$1:BZ$500,MATCH(W2Pデータ貼り付け!T34,製品仕様マスタ!B:B,0),MATCH(W2Pデータ貼り付け!V34,製品仕様マスタ!AZ$1:BZ$1,0)))),"")</f>
        <v/>
      </c>
      <c r="AL34" s="232" t="str">
        <f t="shared" si="0"/>
        <v/>
      </c>
      <c r="AM34" s="232" t="str">
        <f>IF(AF34&lt;&gt;"",IF(ISNUMBER(T34),COUNT(AM$2:AM33)+1,""),"")</f>
        <v/>
      </c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  <c r="CK34" s="231"/>
      <c r="CL34" s="231"/>
      <c r="CM34" s="231"/>
      <c r="CN34" s="231"/>
      <c r="CO34" s="231"/>
      <c r="CP34" s="231"/>
      <c r="CQ34" s="231"/>
      <c r="CR34" s="231"/>
      <c r="CS34" s="231"/>
      <c r="CT34" s="231"/>
      <c r="CU34" s="231"/>
      <c r="CV34" s="231"/>
    </row>
    <row r="35" spans="17:100" ht="14.1" customHeight="1" x14ac:dyDescent="0.15">
      <c r="Q35"/>
      <c r="T35"/>
      <c r="AF35"/>
      <c r="AG35"/>
      <c r="AH35"/>
      <c r="AI35" s="232" t="str">
        <f>_xlfn.IFNA(IF(INDEX(製品仕様マスタ!C:C,MATCH(W2Pデータ貼り付け!T35,製品仕様マスタ!B:B,0))=0,"",INDEX(製品仕様マスタ!C:C,MATCH(W2Pデータ貼り付け!T35,製品仕様マスタ!B:B,0))),"")</f>
        <v/>
      </c>
      <c r="AJ35" s="232" t="str">
        <f>_xlfn.IFNA(IF(INDEX(製品仕様マスタ!AK:AK,MATCH(W2Pデータ貼り付け!T35,製品仕様マスタ!B:B,0))=0,"",INDEX(製品仕様マスタ!AK:AK,MATCH(W2Pデータ貼り付け!T35,製品仕様マスタ!B:B,0))),"")</f>
        <v/>
      </c>
      <c r="AK35" s="233" t="str">
        <f>_xlfn.IFNA(IF(INDEX(製品仕様マスタ!AY:AY,MATCH(W2Pデータ貼り付け!T35,製品仕様マスタ!B:B,0))=0,"",IF(INDEX(製品仕様マスタ!AY:AY,MATCH(W2Pデータ貼り付け!T35,製品仕様マスタ!B:B,0)) &lt;&gt; "-",INDEX(製品仕様マスタ!AY:AY,MATCH(W2Pデータ貼り付け!T35,製品仕様マスタ!B:B,0)),INDEX(製品仕様マスタ!AZ$1:BZ$500,MATCH(W2Pデータ貼り付け!T35,製品仕様マスタ!B:B,0),MATCH(W2Pデータ貼り付け!V35,製品仕様マスタ!AZ$1:BZ$1,0)))),"")</f>
        <v/>
      </c>
      <c r="AL35" s="232" t="str">
        <f t="shared" si="0"/>
        <v/>
      </c>
      <c r="AM35" s="232" t="str">
        <f>IF(AF35&lt;&gt;"",IF(ISNUMBER(T35),COUNT(AM$2:AM34)+1,""),"")</f>
        <v/>
      </c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  <c r="CK35" s="231"/>
      <c r="CL35" s="231"/>
      <c r="CM35" s="231"/>
      <c r="CN35" s="231"/>
      <c r="CO35" s="231"/>
      <c r="CP35" s="231"/>
      <c r="CQ35" s="231"/>
      <c r="CR35" s="231"/>
      <c r="CS35" s="231"/>
      <c r="CT35" s="231"/>
      <c r="CU35" s="231"/>
      <c r="CV35" s="231"/>
    </row>
    <row r="36" spans="17:100" ht="14.1" customHeight="1" x14ac:dyDescent="0.15">
      <c r="Q36"/>
      <c r="T36"/>
      <c r="AF36"/>
      <c r="AG36"/>
      <c r="AH36"/>
      <c r="AI36" s="232" t="str">
        <f>_xlfn.IFNA(IF(INDEX(製品仕様マスタ!C:C,MATCH(W2Pデータ貼り付け!T36,製品仕様マスタ!B:B,0))=0,"",INDEX(製品仕様マスタ!C:C,MATCH(W2Pデータ貼り付け!T36,製品仕様マスタ!B:B,0))),"")</f>
        <v/>
      </c>
      <c r="AJ36" s="232" t="str">
        <f>_xlfn.IFNA(IF(INDEX(製品仕様マスタ!AK:AK,MATCH(W2Pデータ貼り付け!T36,製品仕様マスタ!B:B,0))=0,"",INDEX(製品仕様マスタ!AK:AK,MATCH(W2Pデータ貼り付け!T36,製品仕様マスタ!B:B,0))),"")</f>
        <v/>
      </c>
      <c r="AK36" s="233" t="str">
        <f>_xlfn.IFNA(IF(INDEX(製品仕様マスタ!AY:AY,MATCH(W2Pデータ貼り付け!T36,製品仕様マスタ!B:B,0))=0,"",IF(INDEX(製品仕様マスタ!AY:AY,MATCH(W2Pデータ貼り付け!T36,製品仕様マスタ!B:B,0)) &lt;&gt; "-",INDEX(製品仕様マスタ!AY:AY,MATCH(W2Pデータ貼り付け!T36,製品仕様マスタ!B:B,0)),INDEX(製品仕様マスタ!AZ$1:BZ$500,MATCH(W2Pデータ貼り付け!T36,製品仕様マスタ!B:B,0),MATCH(W2Pデータ貼り付け!V36,製品仕様マスタ!AZ$1:BZ$1,0)))),"")</f>
        <v/>
      </c>
      <c r="AL36" s="232" t="str">
        <f t="shared" si="0"/>
        <v/>
      </c>
      <c r="AM36" s="232" t="str">
        <f>IF(AF36&lt;&gt;"",IF(ISNUMBER(T36),COUNT(AM$2:AM35)+1,""),"")</f>
        <v/>
      </c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  <c r="CK36" s="231"/>
      <c r="CL36" s="231"/>
      <c r="CM36" s="231"/>
      <c r="CN36" s="231"/>
      <c r="CO36" s="231"/>
      <c r="CP36" s="231"/>
      <c r="CQ36" s="231"/>
      <c r="CR36" s="231"/>
      <c r="CS36" s="231"/>
      <c r="CT36" s="231"/>
      <c r="CU36" s="231"/>
      <c r="CV36" s="231"/>
    </row>
    <row r="37" spans="17:100" ht="14.1" customHeight="1" x14ac:dyDescent="0.15">
      <c r="Q37"/>
      <c r="T37"/>
      <c r="AF37"/>
      <c r="AG37"/>
      <c r="AH37"/>
      <c r="AI37" s="232" t="str">
        <f>_xlfn.IFNA(IF(INDEX(製品仕様マスタ!C:C,MATCH(W2Pデータ貼り付け!T37,製品仕様マスタ!B:B,0))=0,"",INDEX(製品仕様マスタ!C:C,MATCH(W2Pデータ貼り付け!T37,製品仕様マスタ!B:B,0))),"")</f>
        <v/>
      </c>
      <c r="AJ37" s="232" t="str">
        <f>_xlfn.IFNA(IF(INDEX(製品仕様マスタ!AK:AK,MATCH(W2Pデータ貼り付け!T37,製品仕様マスタ!B:B,0))=0,"",INDEX(製品仕様マスタ!AK:AK,MATCH(W2Pデータ貼り付け!T37,製品仕様マスタ!B:B,0))),"")</f>
        <v/>
      </c>
      <c r="AK37" s="233" t="str">
        <f>_xlfn.IFNA(IF(INDEX(製品仕様マスタ!AY:AY,MATCH(W2Pデータ貼り付け!T37,製品仕様マスタ!B:B,0))=0,"",IF(INDEX(製品仕様マスタ!AY:AY,MATCH(W2Pデータ貼り付け!T37,製品仕様マスタ!B:B,0)) &lt;&gt; "-",INDEX(製品仕様マスタ!AY:AY,MATCH(W2Pデータ貼り付け!T37,製品仕様マスタ!B:B,0)),INDEX(製品仕様マスタ!AZ$1:BZ$500,MATCH(W2Pデータ貼り付け!T37,製品仕様マスタ!B:B,0),MATCH(W2Pデータ貼り付け!V37,製品仕様マスタ!AZ$1:BZ$1,0)))),"")</f>
        <v/>
      </c>
      <c r="AL37" s="232" t="str">
        <f t="shared" si="0"/>
        <v/>
      </c>
      <c r="AM37" s="232" t="str">
        <f>IF(AF37&lt;&gt;"",IF(ISNUMBER(T37),COUNT(AM$2:AM36)+1,""),"")</f>
        <v/>
      </c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  <c r="CK37" s="231"/>
      <c r="CL37" s="231"/>
      <c r="CM37" s="231"/>
      <c r="CN37" s="231"/>
      <c r="CO37" s="231"/>
      <c r="CP37" s="231"/>
      <c r="CQ37" s="231"/>
      <c r="CR37" s="231"/>
      <c r="CS37" s="231"/>
      <c r="CT37" s="231"/>
      <c r="CU37" s="231"/>
      <c r="CV37" s="231"/>
    </row>
    <row r="38" spans="17:100" ht="14.1" customHeight="1" x14ac:dyDescent="0.15">
      <c r="Q38"/>
      <c r="T38"/>
      <c r="AF38"/>
      <c r="AG38"/>
      <c r="AH38"/>
      <c r="AI38" s="232" t="str">
        <f>_xlfn.IFNA(IF(INDEX(製品仕様マスタ!C:C,MATCH(W2Pデータ貼り付け!T38,製品仕様マスタ!B:B,0))=0,"",INDEX(製品仕様マスタ!C:C,MATCH(W2Pデータ貼り付け!T38,製品仕様マスタ!B:B,0))),"")</f>
        <v/>
      </c>
      <c r="AJ38" s="232" t="str">
        <f>_xlfn.IFNA(IF(INDEX(製品仕様マスタ!AK:AK,MATCH(W2Pデータ貼り付け!T38,製品仕様マスタ!B:B,0))=0,"",INDEX(製品仕様マスタ!AK:AK,MATCH(W2Pデータ貼り付け!T38,製品仕様マスタ!B:B,0))),"")</f>
        <v/>
      </c>
      <c r="AK38" s="233" t="str">
        <f>_xlfn.IFNA(IF(INDEX(製品仕様マスタ!AY:AY,MATCH(W2Pデータ貼り付け!T38,製品仕様マスタ!B:B,0))=0,"",IF(INDEX(製品仕様マスタ!AY:AY,MATCH(W2Pデータ貼り付け!T38,製品仕様マスタ!B:B,0)) &lt;&gt; "-",INDEX(製品仕様マスタ!AY:AY,MATCH(W2Pデータ貼り付け!T38,製品仕様マスタ!B:B,0)),INDEX(製品仕様マスタ!AZ$1:BZ$500,MATCH(W2Pデータ貼り付け!T38,製品仕様マスタ!B:B,0),MATCH(W2Pデータ貼り付け!V38,製品仕様マスタ!AZ$1:BZ$1,0)))),"")</f>
        <v/>
      </c>
      <c r="AL38" s="232" t="str">
        <f t="shared" si="0"/>
        <v/>
      </c>
      <c r="AM38" s="232" t="str">
        <f>IF(AF38&lt;&gt;"",IF(ISNUMBER(T38),COUNT(AM$2:AM37)+1,""),"")</f>
        <v/>
      </c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  <c r="CK38" s="231"/>
      <c r="CL38" s="231"/>
      <c r="CM38" s="231"/>
      <c r="CN38" s="231"/>
      <c r="CO38" s="231"/>
      <c r="CP38" s="231"/>
      <c r="CQ38" s="231"/>
      <c r="CR38" s="231"/>
      <c r="CS38" s="231"/>
      <c r="CT38" s="231"/>
      <c r="CU38" s="231"/>
      <c r="CV38" s="231"/>
    </row>
    <row r="39" spans="17:100" ht="14.1" customHeight="1" x14ac:dyDescent="0.15">
      <c r="Q39"/>
      <c r="T39"/>
      <c r="AF39"/>
      <c r="AG39"/>
      <c r="AH39"/>
      <c r="AI39" s="232" t="str">
        <f>_xlfn.IFNA(IF(INDEX(製品仕様マスタ!C:C,MATCH(W2Pデータ貼り付け!T39,製品仕様マスタ!B:B,0))=0,"",INDEX(製品仕様マスタ!C:C,MATCH(W2Pデータ貼り付け!T39,製品仕様マスタ!B:B,0))),"")</f>
        <v/>
      </c>
      <c r="AJ39" s="232" t="str">
        <f>_xlfn.IFNA(IF(INDEX(製品仕様マスタ!AK:AK,MATCH(W2Pデータ貼り付け!T39,製品仕様マスタ!B:B,0))=0,"",INDEX(製品仕様マスタ!AK:AK,MATCH(W2Pデータ貼り付け!T39,製品仕様マスタ!B:B,0))),"")</f>
        <v/>
      </c>
      <c r="AK39" s="233" t="str">
        <f>_xlfn.IFNA(IF(INDEX(製品仕様マスタ!AY:AY,MATCH(W2Pデータ貼り付け!T39,製品仕様マスタ!B:B,0))=0,"",IF(INDEX(製品仕様マスタ!AY:AY,MATCH(W2Pデータ貼り付け!T39,製品仕様マスタ!B:B,0)) &lt;&gt; "-",INDEX(製品仕様マスタ!AY:AY,MATCH(W2Pデータ貼り付け!T39,製品仕様マスタ!B:B,0)),INDEX(製品仕様マスタ!AZ$1:BZ$500,MATCH(W2Pデータ貼り付け!T39,製品仕様マスタ!B:B,0),MATCH(W2Pデータ貼り付け!V39,製品仕様マスタ!AZ$1:BZ$1,0)))),"")</f>
        <v/>
      </c>
      <c r="AL39" s="232" t="str">
        <f t="shared" si="0"/>
        <v/>
      </c>
      <c r="AM39" s="232" t="str">
        <f>IF(AF39&lt;&gt;"",IF(ISNUMBER(T39),COUNT(AM$2:AM38)+1,""),"")</f>
        <v/>
      </c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  <c r="CK39" s="231"/>
      <c r="CL39" s="231"/>
      <c r="CM39" s="231"/>
      <c r="CN39" s="231"/>
      <c r="CO39" s="231"/>
      <c r="CP39" s="231"/>
      <c r="CQ39" s="231"/>
      <c r="CR39" s="231"/>
      <c r="CS39" s="231"/>
      <c r="CT39" s="231"/>
      <c r="CU39" s="231"/>
      <c r="CV39" s="231"/>
    </row>
    <row r="40" spans="17:100" ht="14.1" customHeight="1" x14ac:dyDescent="0.15">
      <c r="Q40"/>
      <c r="T40"/>
      <c r="AF40"/>
      <c r="AG40"/>
      <c r="AH40"/>
      <c r="AI40" s="232" t="str">
        <f>_xlfn.IFNA(IF(INDEX(製品仕様マスタ!C:C,MATCH(W2Pデータ貼り付け!T40,製品仕様マスタ!B:B,0))=0,"",INDEX(製品仕様マスタ!C:C,MATCH(W2Pデータ貼り付け!T40,製品仕様マスタ!B:B,0))),"")</f>
        <v/>
      </c>
      <c r="AJ40" s="232" t="str">
        <f>_xlfn.IFNA(IF(INDEX(製品仕様マスタ!AK:AK,MATCH(W2Pデータ貼り付け!T40,製品仕様マスタ!B:B,0))=0,"",INDEX(製品仕様マスタ!AK:AK,MATCH(W2Pデータ貼り付け!T40,製品仕様マスタ!B:B,0))),"")</f>
        <v/>
      </c>
      <c r="AK40" s="233" t="str">
        <f>_xlfn.IFNA(IF(INDEX(製品仕様マスタ!AY:AY,MATCH(W2Pデータ貼り付け!T40,製品仕様マスタ!B:B,0))=0,"",IF(INDEX(製品仕様マスタ!AY:AY,MATCH(W2Pデータ貼り付け!T40,製品仕様マスタ!B:B,0)) &lt;&gt; "-",INDEX(製品仕様マスタ!AY:AY,MATCH(W2Pデータ貼り付け!T40,製品仕様マスタ!B:B,0)),INDEX(製品仕様マスタ!AZ$1:BZ$500,MATCH(W2Pデータ貼り付け!T40,製品仕様マスタ!B:B,0),MATCH(W2Pデータ貼り付け!V40,製品仕様マスタ!AZ$1:BZ$1,0)))),"")</f>
        <v/>
      </c>
      <c r="AL40" s="232" t="str">
        <f t="shared" si="0"/>
        <v/>
      </c>
      <c r="AM40" s="232" t="str">
        <f>IF(AF40&lt;&gt;"",IF(ISNUMBER(T40),COUNT(AM$2:AM39)+1,""),"")</f>
        <v/>
      </c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  <c r="CK40" s="231"/>
      <c r="CL40" s="231"/>
      <c r="CM40" s="231"/>
      <c r="CN40" s="231"/>
      <c r="CO40" s="231"/>
      <c r="CP40" s="231"/>
      <c r="CQ40" s="231"/>
      <c r="CR40" s="231"/>
      <c r="CS40" s="231"/>
      <c r="CT40" s="231"/>
      <c r="CU40" s="231"/>
      <c r="CV40" s="231"/>
    </row>
    <row r="41" spans="17:100" ht="14.1" customHeight="1" x14ac:dyDescent="0.15">
      <c r="Q41"/>
      <c r="T41"/>
      <c r="AF41"/>
      <c r="AG41"/>
      <c r="AH41"/>
      <c r="AI41" s="232" t="str">
        <f>_xlfn.IFNA(IF(INDEX(製品仕様マスタ!C:C,MATCH(W2Pデータ貼り付け!T41,製品仕様マスタ!B:B,0))=0,"",INDEX(製品仕様マスタ!C:C,MATCH(W2Pデータ貼り付け!T41,製品仕様マスタ!B:B,0))),"")</f>
        <v/>
      </c>
      <c r="AJ41" s="232" t="str">
        <f>_xlfn.IFNA(IF(INDEX(製品仕様マスタ!AK:AK,MATCH(W2Pデータ貼り付け!T41,製品仕様マスタ!B:B,0))=0,"",INDEX(製品仕様マスタ!AK:AK,MATCH(W2Pデータ貼り付け!T41,製品仕様マスタ!B:B,0))),"")</f>
        <v/>
      </c>
      <c r="AK41" s="233" t="str">
        <f>_xlfn.IFNA(IF(INDEX(製品仕様マスタ!AY:AY,MATCH(W2Pデータ貼り付け!T41,製品仕様マスタ!B:B,0))=0,"",IF(INDEX(製品仕様マスタ!AY:AY,MATCH(W2Pデータ貼り付け!T41,製品仕様マスタ!B:B,0)) &lt;&gt; "-",INDEX(製品仕様マスタ!AY:AY,MATCH(W2Pデータ貼り付け!T41,製品仕様マスタ!B:B,0)),INDEX(製品仕様マスタ!AZ$1:BZ$500,MATCH(W2Pデータ貼り付け!T41,製品仕様マスタ!B:B,0),MATCH(W2Pデータ貼り付け!V41,製品仕様マスタ!AZ$1:BZ$1,0)))),"")</f>
        <v/>
      </c>
      <c r="AL41" s="232" t="str">
        <f t="shared" si="0"/>
        <v/>
      </c>
      <c r="AM41" s="232" t="str">
        <f>IF(AF41&lt;&gt;"",IF(ISNUMBER(T41),COUNT(AM$2:AM40)+1,""),"")</f>
        <v/>
      </c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  <c r="CK41" s="231"/>
      <c r="CL41" s="231"/>
      <c r="CM41" s="231"/>
      <c r="CN41" s="231"/>
      <c r="CO41" s="231"/>
      <c r="CP41" s="231"/>
      <c r="CQ41" s="231"/>
      <c r="CR41" s="231"/>
      <c r="CS41" s="231"/>
      <c r="CT41" s="231"/>
      <c r="CU41" s="231"/>
      <c r="CV41" s="231"/>
    </row>
    <row r="42" spans="17:100" ht="14.1" customHeight="1" x14ac:dyDescent="0.15">
      <c r="Q42"/>
      <c r="T42"/>
      <c r="AF42"/>
      <c r="AG42"/>
      <c r="AH42"/>
      <c r="AI42" s="232" t="str">
        <f>_xlfn.IFNA(IF(INDEX(製品仕様マスタ!C:C,MATCH(W2Pデータ貼り付け!T42,製品仕様マスタ!B:B,0))=0,"",INDEX(製品仕様マスタ!C:C,MATCH(W2Pデータ貼り付け!T42,製品仕様マスタ!B:B,0))),"")</f>
        <v/>
      </c>
      <c r="AJ42" s="232" t="str">
        <f>_xlfn.IFNA(IF(INDEX(製品仕様マスタ!AK:AK,MATCH(W2Pデータ貼り付け!T42,製品仕様マスタ!B:B,0))=0,"",INDEX(製品仕様マスタ!AK:AK,MATCH(W2Pデータ貼り付け!T42,製品仕様マスタ!B:B,0))),"")</f>
        <v/>
      </c>
      <c r="AK42" s="233" t="str">
        <f>_xlfn.IFNA(IF(INDEX(製品仕様マスタ!AY:AY,MATCH(W2Pデータ貼り付け!T42,製品仕様マスタ!B:B,0))=0,"",IF(INDEX(製品仕様マスタ!AY:AY,MATCH(W2Pデータ貼り付け!T42,製品仕様マスタ!B:B,0)) &lt;&gt; "-",INDEX(製品仕様マスタ!AY:AY,MATCH(W2Pデータ貼り付け!T42,製品仕様マスタ!B:B,0)),INDEX(製品仕様マスタ!AZ$1:BZ$500,MATCH(W2Pデータ貼り付け!T42,製品仕様マスタ!B:B,0),MATCH(W2Pデータ貼り付け!V42,製品仕様マスタ!AZ$1:BZ$1,0)))),"")</f>
        <v/>
      </c>
      <c r="AL42" s="232" t="str">
        <f t="shared" si="0"/>
        <v/>
      </c>
      <c r="AM42" s="232" t="str">
        <f>IF(AF42&lt;&gt;"",IF(ISNUMBER(T42),COUNT(AM$2:AM41)+1,""),"")</f>
        <v/>
      </c>
      <c r="AN42" s="231"/>
      <c r="AO42" s="231"/>
      <c r="AP42" s="231"/>
      <c r="AQ42" s="231"/>
      <c r="AR42" s="231"/>
      <c r="AS42" s="231"/>
      <c r="AT42" s="231"/>
      <c r="AU42" s="231"/>
      <c r="AV42" s="231"/>
      <c r="AW42" s="231"/>
      <c r="AX42" s="231"/>
      <c r="AY42" s="231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BJ42" s="231"/>
      <c r="BK42" s="231"/>
      <c r="BL42" s="231"/>
      <c r="BM42" s="231"/>
      <c r="BN42" s="231"/>
      <c r="BO42" s="231"/>
      <c r="BP42" s="231"/>
      <c r="BQ42" s="231"/>
      <c r="BR42" s="231"/>
      <c r="BS42" s="231"/>
      <c r="BT42" s="231"/>
      <c r="BU42" s="231"/>
      <c r="BV42" s="231"/>
      <c r="BW42" s="231"/>
      <c r="BX42" s="231"/>
      <c r="BY42" s="231"/>
      <c r="BZ42" s="231"/>
      <c r="CA42" s="231"/>
      <c r="CB42" s="231"/>
      <c r="CC42" s="231"/>
      <c r="CD42" s="231"/>
      <c r="CE42" s="231"/>
      <c r="CF42" s="231"/>
      <c r="CG42" s="231"/>
      <c r="CH42" s="231"/>
      <c r="CI42" s="231"/>
      <c r="CJ42" s="231"/>
      <c r="CK42" s="231"/>
      <c r="CL42" s="231"/>
      <c r="CM42" s="231"/>
      <c r="CN42" s="231"/>
      <c r="CO42" s="231"/>
      <c r="CP42" s="231"/>
      <c r="CQ42" s="231"/>
      <c r="CR42" s="231"/>
      <c r="CS42" s="231"/>
      <c r="CT42" s="231"/>
      <c r="CU42" s="231"/>
      <c r="CV42" s="231"/>
    </row>
    <row r="43" spans="17:100" ht="14.1" customHeight="1" x14ac:dyDescent="0.15">
      <c r="Q43"/>
      <c r="T43"/>
      <c r="AF43"/>
      <c r="AG43"/>
      <c r="AH43"/>
      <c r="AI43" s="232" t="str">
        <f>_xlfn.IFNA(IF(INDEX(製品仕様マスタ!C:C,MATCH(W2Pデータ貼り付け!T43,製品仕様マスタ!B:B,0))=0,"",INDEX(製品仕様マスタ!C:C,MATCH(W2Pデータ貼り付け!T43,製品仕様マスタ!B:B,0))),"")</f>
        <v/>
      </c>
      <c r="AJ43" s="232" t="str">
        <f>_xlfn.IFNA(IF(INDEX(製品仕様マスタ!AK:AK,MATCH(W2Pデータ貼り付け!T43,製品仕様マスタ!B:B,0))=0,"",INDEX(製品仕様マスタ!AK:AK,MATCH(W2Pデータ貼り付け!T43,製品仕様マスタ!B:B,0))),"")</f>
        <v/>
      </c>
      <c r="AK43" s="233" t="str">
        <f>_xlfn.IFNA(IF(INDEX(製品仕様マスタ!AY:AY,MATCH(W2Pデータ貼り付け!T43,製品仕様マスタ!B:B,0))=0,"",IF(INDEX(製品仕様マスタ!AY:AY,MATCH(W2Pデータ貼り付け!T43,製品仕様マスタ!B:B,0)) &lt;&gt; "-",INDEX(製品仕様マスタ!AY:AY,MATCH(W2Pデータ貼り付け!T43,製品仕様マスタ!B:B,0)),INDEX(製品仕様マスタ!AZ$1:BZ$500,MATCH(W2Pデータ貼り付け!T43,製品仕様マスタ!B:B,0),MATCH(W2Pデータ貼り付け!V43,製品仕様マスタ!AZ$1:BZ$1,0)))),"")</f>
        <v/>
      </c>
      <c r="AL43" s="232" t="str">
        <f t="shared" si="0"/>
        <v/>
      </c>
      <c r="AM43" s="232" t="str">
        <f>IF(AF43&lt;&gt;"",IF(ISNUMBER(T43),COUNT(AM$2:AM42)+1,""),"")</f>
        <v/>
      </c>
      <c r="AN43" s="231"/>
      <c r="AO43" s="231"/>
      <c r="AP43" s="231"/>
      <c r="AQ43" s="231"/>
      <c r="AR43" s="231"/>
      <c r="AS43" s="231"/>
      <c r="AT43" s="231"/>
      <c r="AU43" s="231"/>
      <c r="AV43" s="231"/>
      <c r="AW43" s="231"/>
      <c r="AX43" s="231"/>
      <c r="AY43" s="231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BJ43" s="231"/>
      <c r="BK43" s="231"/>
      <c r="BL43" s="231"/>
      <c r="BM43" s="231"/>
      <c r="BN43" s="231"/>
      <c r="BO43" s="231"/>
      <c r="BP43" s="231"/>
      <c r="BQ43" s="231"/>
      <c r="BR43" s="231"/>
      <c r="BS43" s="231"/>
      <c r="BT43" s="231"/>
      <c r="BU43" s="231"/>
      <c r="BV43" s="231"/>
      <c r="BW43" s="231"/>
      <c r="BX43" s="231"/>
      <c r="BY43" s="231"/>
      <c r="BZ43" s="231"/>
      <c r="CA43" s="231"/>
      <c r="CB43" s="231"/>
      <c r="CC43" s="231"/>
      <c r="CD43" s="231"/>
      <c r="CE43" s="231"/>
      <c r="CF43" s="231"/>
      <c r="CG43" s="231"/>
      <c r="CH43" s="231"/>
      <c r="CI43" s="231"/>
      <c r="CJ43" s="231"/>
      <c r="CK43" s="231"/>
      <c r="CL43" s="231"/>
      <c r="CM43" s="231"/>
      <c r="CN43" s="231"/>
      <c r="CO43" s="231"/>
      <c r="CP43" s="231"/>
      <c r="CQ43" s="231"/>
      <c r="CR43" s="231"/>
      <c r="CS43" s="231"/>
      <c r="CT43" s="231"/>
      <c r="CU43" s="231"/>
      <c r="CV43" s="231"/>
    </row>
    <row r="44" spans="17:100" ht="14.1" customHeight="1" x14ac:dyDescent="0.15">
      <c r="Q44"/>
      <c r="T44"/>
      <c r="AF44"/>
      <c r="AG44"/>
      <c r="AH44"/>
      <c r="AI44" s="232" t="str">
        <f>_xlfn.IFNA(IF(INDEX(製品仕様マスタ!C:C,MATCH(W2Pデータ貼り付け!T44,製品仕様マスタ!B:B,0))=0,"",INDEX(製品仕様マスタ!C:C,MATCH(W2Pデータ貼り付け!T44,製品仕様マスタ!B:B,0))),"")</f>
        <v/>
      </c>
      <c r="AJ44" s="232" t="str">
        <f>_xlfn.IFNA(IF(INDEX(製品仕様マスタ!AK:AK,MATCH(W2Pデータ貼り付け!T44,製品仕様マスタ!B:B,0))=0,"",INDEX(製品仕様マスタ!AK:AK,MATCH(W2Pデータ貼り付け!T44,製品仕様マスタ!B:B,0))),"")</f>
        <v/>
      </c>
      <c r="AK44" s="233" t="str">
        <f>_xlfn.IFNA(IF(INDEX(製品仕様マスタ!AY:AY,MATCH(W2Pデータ貼り付け!T44,製品仕様マスタ!B:B,0))=0,"",IF(INDEX(製品仕様マスタ!AY:AY,MATCH(W2Pデータ貼り付け!T44,製品仕様マスタ!B:B,0)) &lt;&gt; "-",INDEX(製品仕様マスタ!AY:AY,MATCH(W2Pデータ貼り付け!T44,製品仕様マスタ!B:B,0)),INDEX(製品仕様マスタ!AZ$1:BZ$500,MATCH(W2Pデータ貼り付け!T44,製品仕様マスタ!B:B,0),MATCH(W2Pデータ貼り付け!V44,製品仕様マスタ!AZ$1:BZ$1,0)))),"")</f>
        <v/>
      </c>
      <c r="AL44" s="232" t="str">
        <f t="shared" si="0"/>
        <v/>
      </c>
      <c r="AM44" s="232" t="str">
        <f>IF(AF44&lt;&gt;"",IF(ISNUMBER(T44),COUNT(AM$2:AM43)+1,""),"")</f>
        <v/>
      </c>
      <c r="AN44" s="231"/>
      <c r="AO44" s="231"/>
      <c r="AP44" s="231"/>
      <c r="AQ44" s="231"/>
      <c r="AR44" s="231"/>
      <c r="AS44" s="231"/>
      <c r="AT44" s="231"/>
      <c r="AU44" s="231"/>
      <c r="AV44" s="231"/>
      <c r="AW44" s="231"/>
      <c r="AX44" s="231"/>
      <c r="AY44" s="231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BJ44" s="231"/>
      <c r="BK44" s="231"/>
      <c r="BL44" s="231"/>
      <c r="BM44" s="231"/>
      <c r="BN44" s="231"/>
      <c r="BO44" s="231"/>
      <c r="BP44" s="231"/>
      <c r="BQ44" s="231"/>
      <c r="BR44" s="231"/>
      <c r="BS44" s="231"/>
      <c r="BT44" s="231"/>
      <c r="BU44" s="231"/>
      <c r="BV44" s="231"/>
      <c r="BW44" s="231"/>
      <c r="BX44" s="231"/>
      <c r="BY44" s="231"/>
      <c r="BZ44" s="231"/>
      <c r="CA44" s="231"/>
      <c r="CB44" s="231"/>
      <c r="CC44" s="231"/>
      <c r="CD44" s="231"/>
      <c r="CE44" s="231"/>
      <c r="CF44" s="231"/>
      <c r="CG44" s="231"/>
      <c r="CH44" s="231"/>
      <c r="CI44" s="231"/>
      <c r="CJ44" s="231"/>
      <c r="CK44" s="231"/>
      <c r="CL44" s="231"/>
      <c r="CM44" s="231"/>
      <c r="CN44" s="231"/>
      <c r="CO44" s="231"/>
      <c r="CP44" s="231"/>
      <c r="CQ44" s="231"/>
      <c r="CR44" s="231"/>
      <c r="CS44" s="231"/>
      <c r="CT44" s="231"/>
      <c r="CU44" s="231"/>
      <c r="CV44" s="231"/>
    </row>
    <row r="45" spans="17:100" ht="14.1" customHeight="1" x14ac:dyDescent="0.15">
      <c r="Q45"/>
      <c r="T45"/>
      <c r="AF45"/>
      <c r="AG45"/>
      <c r="AH45"/>
      <c r="AI45" s="232" t="str">
        <f>_xlfn.IFNA(IF(INDEX(製品仕様マスタ!C:C,MATCH(W2Pデータ貼り付け!T45,製品仕様マスタ!B:B,0))=0,"",INDEX(製品仕様マスタ!C:C,MATCH(W2Pデータ貼り付け!T45,製品仕様マスタ!B:B,0))),"")</f>
        <v/>
      </c>
      <c r="AJ45" s="232" t="str">
        <f>_xlfn.IFNA(IF(INDEX(製品仕様マスタ!AK:AK,MATCH(W2Pデータ貼り付け!T45,製品仕様マスタ!B:B,0))=0,"",INDEX(製品仕様マスタ!AK:AK,MATCH(W2Pデータ貼り付け!T45,製品仕様マスタ!B:B,0))),"")</f>
        <v/>
      </c>
      <c r="AK45" s="233" t="str">
        <f>_xlfn.IFNA(IF(INDEX(製品仕様マスタ!AY:AY,MATCH(W2Pデータ貼り付け!T45,製品仕様マスタ!B:B,0))=0,"",IF(INDEX(製品仕様マスタ!AY:AY,MATCH(W2Pデータ貼り付け!T45,製品仕様マスタ!B:B,0)) &lt;&gt; "-",INDEX(製品仕様マスタ!AY:AY,MATCH(W2Pデータ貼り付け!T45,製品仕様マスタ!B:B,0)),INDEX(製品仕様マスタ!AZ$1:BZ$500,MATCH(W2Pデータ貼り付け!T45,製品仕様マスタ!B:B,0),MATCH(W2Pデータ貼り付け!V45,製品仕様マスタ!AZ$1:BZ$1,0)))),"")</f>
        <v/>
      </c>
      <c r="AL45" s="232" t="str">
        <f t="shared" si="0"/>
        <v/>
      </c>
      <c r="AM45" s="232" t="str">
        <f>IF(AF45&lt;&gt;"",IF(ISNUMBER(T45),COUNT(AM$2:AM44)+1,""),"")</f>
        <v/>
      </c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  <c r="CK45" s="231"/>
      <c r="CL45" s="231"/>
      <c r="CM45" s="231"/>
      <c r="CN45" s="231"/>
      <c r="CO45" s="231"/>
      <c r="CP45" s="231"/>
      <c r="CQ45" s="231"/>
      <c r="CR45" s="231"/>
      <c r="CS45" s="231"/>
      <c r="CT45" s="231"/>
      <c r="CU45" s="231"/>
      <c r="CV45" s="231"/>
    </row>
    <row r="46" spans="17:100" ht="14.1" customHeight="1" x14ac:dyDescent="0.15">
      <c r="Q46"/>
      <c r="T46"/>
      <c r="AF46"/>
      <c r="AG46"/>
      <c r="AH46"/>
      <c r="AI46" s="232" t="str">
        <f>_xlfn.IFNA(IF(INDEX(製品仕様マスタ!C:C,MATCH(W2Pデータ貼り付け!T46,製品仕様マスタ!B:B,0))=0,"",INDEX(製品仕様マスタ!C:C,MATCH(W2Pデータ貼り付け!T46,製品仕様マスタ!B:B,0))),"")</f>
        <v/>
      </c>
      <c r="AJ46" s="232" t="str">
        <f>_xlfn.IFNA(IF(INDEX(製品仕様マスタ!AK:AK,MATCH(W2Pデータ貼り付け!T46,製品仕様マスタ!B:B,0))=0,"",INDEX(製品仕様マスタ!AK:AK,MATCH(W2Pデータ貼り付け!T46,製品仕様マスタ!B:B,0))),"")</f>
        <v/>
      </c>
      <c r="AK46" s="233" t="str">
        <f>_xlfn.IFNA(IF(INDEX(製品仕様マスタ!AY:AY,MATCH(W2Pデータ貼り付け!T46,製品仕様マスタ!B:B,0))=0,"",IF(INDEX(製品仕様マスタ!AY:AY,MATCH(W2Pデータ貼り付け!T46,製品仕様マスタ!B:B,0)) &lt;&gt; "-",INDEX(製品仕様マスタ!AY:AY,MATCH(W2Pデータ貼り付け!T46,製品仕様マスタ!B:B,0)),INDEX(製品仕様マスタ!AZ$1:BZ$500,MATCH(W2Pデータ貼り付け!T46,製品仕様マスタ!B:B,0),MATCH(W2Pデータ貼り付け!V46,製品仕様マスタ!AZ$1:BZ$1,0)))),"")</f>
        <v/>
      </c>
      <c r="AL46" s="232" t="str">
        <f t="shared" si="0"/>
        <v/>
      </c>
      <c r="AM46" s="232" t="str">
        <f>IF(AF46&lt;&gt;"",IF(ISNUMBER(T46),COUNT(AM$2:AM45)+1,""),"")</f>
        <v/>
      </c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  <c r="CK46" s="231"/>
      <c r="CL46" s="231"/>
      <c r="CM46" s="231"/>
      <c r="CN46" s="231"/>
      <c r="CO46" s="231"/>
      <c r="CP46" s="231"/>
      <c r="CQ46" s="231"/>
      <c r="CR46" s="231"/>
      <c r="CS46" s="231"/>
      <c r="CT46" s="231"/>
      <c r="CU46" s="231"/>
      <c r="CV46" s="231"/>
    </row>
    <row r="47" spans="17:100" ht="14.1" customHeight="1" x14ac:dyDescent="0.15">
      <c r="Q47"/>
      <c r="T47"/>
      <c r="AF47"/>
      <c r="AG47"/>
      <c r="AH47"/>
      <c r="AI47" s="232" t="str">
        <f>_xlfn.IFNA(IF(INDEX(製品仕様マスタ!C:C,MATCH(W2Pデータ貼り付け!T47,製品仕様マスタ!B:B,0))=0,"",INDEX(製品仕様マスタ!C:C,MATCH(W2Pデータ貼り付け!T47,製品仕様マスタ!B:B,0))),"")</f>
        <v/>
      </c>
      <c r="AJ47" s="232" t="str">
        <f>_xlfn.IFNA(IF(INDEX(製品仕様マスタ!AK:AK,MATCH(W2Pデータ貼り付け!T47,製品仕様マスタ!B:B,0))=0,"",INDEX(製品仕様マスタ!AK:AK,MATCH(W2Pデータ貼り付け!T47,製品仕様マスタ!B:B,0))),"")</f>
        <v/>
      </c>
      <c r="AK47" s="233" t="str">
        <f>_xlfn.IFNA(IF(INDEX(製品仕様マスタ!AY:AY,MATCH(W2Pデータ貼り付け!T47,製品仕様マスタ!B:B,0))=0,"",IF(INDEX(製品仕様マスタ!AY:AY,MATCH(W2Pデータ貼り付け!T47,製品仕様マスタ!B:B,0)) &lt;&gt; "-",INDEX(製品仕様マスタ!AY:AY,MATCH(W2Pデータ貼り付け!T47,製品仕様マスタ!B:B,0)),INDEX(製品仕様マスタ!AZ$1:BZ$500,MATCH(W2Pデータ貼り付け!T47,製品仕様マスタ!B:B,0),MATCH(W2Pデータ貼り付け!V47,製品仕様マスタ!AZ$1:BZ$1,0)))),"")</f>
        <v/>
      </c>
      <c r="AL47" s="232" t="str">
        <f t="shared" si="0"/>
        <v/>
      </c>
      <c r="AM47" s="232" t="str">
        <f>IF(AF47&lt;&gt;"",IF(ISNUMBER(T47),COUNT(AM$2:AM46)+1,""),"")</f>
        <v/>
      </c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  <c r="CK47" s="231"/>
      <c r="CL47" s="231"/>
      <c r="CM47" s="231"/>
      <c r="CN47" s="231"/>
      <c r="CO47" s="231"/>
      <c r="CP47" s="231"/>
      <c r="CQ47" s="231"/>
      <c r="CR47" s="231"/>
      <c r="CS47" s="231"/>
      <c r="CT47" s="231"/>
      <c r="CU47" s="231"/>
      <c r="CV47" s="231"/>
    </row>
    <row r="48" spans="17:100" ht="14.1" customHeight="1" x14ac:dyDescent="0.15">
      <c r="Q48"/>
      <c r="T48"/>
      <c r="AF48"/>
      <c r="AG48"/>
      <c r="AH48"/>
      <c r="AI48" s="232" t="str">
        <f>_xlfn.IFNA(IF(INDEX(製品仕様マスタ!C:C,MATCH(W2Pデータ貼り付け!T48,製品仕様マスタ!B:B,0))=0,"",INDEX(製品仕様マスタ!C:C,MATCH(W2Pデータ貼り付け!T48,製品仕様マスタ!B:B,0))),"")</f>
        <v/>
      </c>
      <c r="AJ48" s="232" t="str">
        <f>_xlfn.IFNA(IF(INDEX(製品仕様マスタ!AK:AK,MATCH(W2Pデータ貼り付け!T48,製品仕様マスタ!B:B,0))=0,"",INDEX(製品仕様マスタ!AK:AK,MATCH(W2Pデータ貼り付け!T48,製品仕様マスタ!B:B,0))),"")</f>
        <v/>
      </c>
      <c r="AK48" s="233" t="str">
        <f>_xlfn.IFNA(IF(INDEX(製品仕様マスタ!AY:AY,MATCH(W2Pデータ貼り付け!T48,製品仕様マスタ!B:B,0))=0,"",IF(INDEX(製品仕様マスタ!AY:AY,MATCH(W2Pデータ貼り付け!T48,製品仕様マスタ!B:B,0)) &lt;&gt; "-",INDEX(製品仕様マスタ!AY:AY,MATCH(W2Pデータ貼り付け!T48,製品仕様マスタ!B:B,0)),INDEX(製品仕様マスタ!AZ$1:BZ$500,MATCH(W2Pデータ貼り付け!T48,製品仕様マスタ!B:B,0),MATCH(W2Pデータ貼り付け!V48,製品仕様マスタ!AZ$1:BZ$1,0)))),"")</f>
        <v/>
      </c>
      <c r="AL48" s="232" t="str">
        <f t="shared" si="0"/>
        <v/>
      </c>
      <c r="AM48" s="232" t="str">
        <f>IF(AF48&lt;&gt;"",IF(ISNUMBER(T48),COUNT(AM$2:AM47)+1,""),"")</f>
        <v/>
      </c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  <c r="CK48" s="231"/>
      <c r="CL48" s="231"/>
      <c r="CM48" s="231"/>
      <c r="CN48" s="231"/>
      <c r="CO48" s="231"/>
      <c r="CP48" s="231"/>
      <c r="CQ48" s="231"/>
      <c r="CR48" s="231"/>
      <c r="CS48" s="231"/>
      <c r="CT48" s="231"/>
      <c r="CU48" s="231"/>
      <c r="CV48" s="231"/>
    </row>
    <row r="49" spans="17:100" ht="14.1" customHeight="1" x14ac:dyDescent="0.15">
      <c r="Q49"/>
      <c r="T49"/>
      <c r="AF49"/>
      <c r="AG49"/>
      <c r="AH49"/>
      <c r="AI49" s="232" t="str">
        <f>_xlfn.IFNA(IF(INDEX(製品仕様マスタ!C:C,MATCH(W2Pデータ貼り付け!T49,製品仕様マスタ!B:B,0))=0,"",INDEX(製品仕様マスタ!C:C,MATCH(W2Pデータ貼り付け!T49,製品仕様マスタ!B:B,0))),"")</f>
        <v/>
      </c>
      <c r="AJ49" s="232" t="str">
        <f>_xlfn.IFNA(IF(INDEX(製品仕様マスタ!AK:AK,MATCH(W2Pデータ貼り付け!T49,製品仕様マスタ!B:B,0))=0,"",INDEX(製品仕様マスタ!AK:AK,MATCH(W2Pデータ貼り付け!T49,製品仕様マスタ!B:B,0))),"")</f>
        <v/>
      </c>
      <c r="AK49" s="233" t="str">
        <f>_xlfn.IFNA(IF(INDEX(製品仕様マスタ!AY:AY,MATCH(W2Pデータ貼り付け!T49,製品仕様マスタ!B:B,0))=0,"",IF(INDEX(製品仕様マスタ!AY:AY,MATCH(W2Pデータ貼り付け!T49,製品仕様マスタ!B:B,0)) &lt;&gt; "-",INDEX(製品仕様マスタ!AY:AY,MATCH(W2Pデータ貼り付け!T49,製品仕様マスタ!B:B,0)),INDEX(製品仕様マスタ!AZ$1:BZ$500,MATCH(W2Pデータ貼り付け!T49,製品仕様マスタ!B:B,0),MATCH(W2Pデータ貼り付け!V49,製品仕様マスタ!AZ$1:BZ$1,0)))),"")</f>
        <v/>
      </c>
      <c r="AL49" s="232" t="str">
        <f t="shared" si="0"/>
        <v/>
      </c>
      <c r="AM49" s="232" t="str">
        <f>IF(AF49&lt;&gt;"",IF(ISNUMBER(T49),COUNT(AM$2:AM48)+1,""),"")</f>
        <v/>
      </c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  <c r="CK49" s="231"/>
      <c r="CL49" s="231"/>
      <c r="CM49" s="231"/>
      <c r="CN49" s="231"/>
      <c r="CO49" s="231"/>
      <c r="CP49" s="231"/>
      <c r="CQ49" s="231"/>
      <c r="CR49" s="231"/>
      <c r="CS49" s="231"/>
      <c r="CT49" s="231"/>
      <c r="CU49" s="231"/>
      <c r="CV49" s="231"/>
    </row>
    <row r="50" spans="17:100" ht="14.1" customHeight="1" x14ac:dyDescent="0.15">
      <c r="Q50"/>
      <c r="T50"/>
      <c r="AF50"/>
      <c r="AG50"/>
      <c r="AH50"/>
      <c r="AI50" s="232" t="str">
        <f>_xlfn.IFNA(IF(INDEX(製品仕様マスタ!C:C,MATCH(W2Pデータ貼り付け!T50,製品仕様マスタ!B:B,0))=0,"",INDEX(製品仕様マスタ!C:C,MATCH(W2Pデータ貼り付け!T50,製品仕様マスタ!B:B,0))),"")</f>
        <v/>
      </c>
      <c r="AJ50" s="232" t="str">
        <f>_xlfn.IFNA(IF(INDEX(製品仕様マスタ!AK:AK,MATCH(W2Pデータ貼り付け!T50,製品仕様マスタ!B:B,0))=0,"",INDEX(製品仕様マスタ!AK:AK,MATCH(W2Pデータ貼り付け!T50,製品仕様マスタ!B:B,0))),"")</f>
        <v/>
      </c>
      <c r="AK50" s="233" t="str">
        <f>_xlfn.IFNA(IF(INDEX(製品仕様マスタ!AY:AY,MATCH(W2Pデータ貼り付け!T50,製品仕様マスタ!B:B,0))=0,"",IF(INDEX(製品仕様マスタ!AY:AY,MATCH(W2Pデータ貼り付け!T50,製品仕様マスタ!B:B,0)) &lt;&gt; "-",INDEX(製品仕様マスタ!AY:AY,MATCH(W2Pデータ貼り付け!T50,製品仕様マスタ!B:B,0)),INDEX(製品仕様マスタ!AZ$1:BZ$500,MATCH(W2Pデータ貼り付け!T50,製品仕様マスタ!B:B,0),MATCH(W2Pデータ貼り付け!V50,製品仕様マスタ!AZ$1:BZ$1,0)))),"")</f>
        <v/>
      </c>
      <c r="AL50" s="232" t="str">
        <f t="shared" si="0"/>
        <v/>
      </c>
      <c r="AM50" s="232" t="str">
        <f>IF(AF50&lt;&gt;"",IF(ISNUMBER(T50),COUNT(AM$2:AM49)+1,""),"")</f>
        <v/>
      </c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  <c r="CK50" s="231"/>
      <c r="CL50" s="231"/>
      <c r="CM50" s="231"/>
      <c r="CN50" s="231"/>
      <c r="CO50" s="231"/>
      <c r="CP50" s="231"/>
      <c r="CQ50" s="231"/>
      <c r="CR50" s="231"/>
      <c r="CS50" s="231"/>
      <c r="CT50" s="231"/>
      <c r="CU50" s="231"/>
      <c r="CV50" s="231"/>
    </row>
    <row r="51" spans="17:100" ht="14.1" customHeight="1" x14ac:dyDescent="0.15">
      <c r="Q51"/>
      <c r="T51"/>
      <c r="AF51"/>
      <c r="AG51"/>
      <c r="AH51"/>
      <c r="AI51" s="232" t="str">
        <f>_xlfn.IFNA(IF(INDEX(製品仕様マスタ!C:C,MATCH(W2Pデータ貼り付け!T51,製品仕様マスタ!B:B,0))=0,"",INDEX(製品仕様マスタ!C:C,MATCH(W2Pデータ貼り付け!T51,製品仕様マスタ!B:B,0))),"")</f>
        <v/>
      </c>
      <c r="AJ51" s="232" t="str">
        <f>_xlfn.IFNA(IF(INDEX(製品仕様マスタ!AK:AK,MATCH(W2Pデータ貼り付け!T51,製品仕様マスタ!B:B,0))=0,"",INDEX(製品仕様マスタ!AK:AK,MATCH(W2Pデータ貼り付け!T51,製品仕様マスタ!B:B,0))),"")</f>
        <v/>
      </c>
      <c r="AK51" s="233" t="str">
        <f>_xlfn.IFNA(IF(INDEX(製品仕様マスタ!AY:AY,MATCH(W2Pデータ貼り付け!T51,製品仕様マスタ!B:B,0))=0,"",IF(INDEX(製品仕様マスタ!AY:AY,MATCH(W2Pデータ貼り付け!T51,製品仕様マスタ!B:B,0)) &lt;&gt; "-",INDEX(製品仕様マスタ!AY:AY,MATCH(W2Pデータ貼り付け!T51,製品仕様マスタ!B:B,0)),INDEX(製品仕様マスタ!AZ$1:BZ$500,MATCH(W2Pデータ貼り付け!T51,製品仕様マスタ!B:B,0),MATCH(W2Pデータ貼り付け!V51,製品仕様マスタ!AZ$1:BZ$1,0)))),"")</f>
        <v/>
      </c>
      <c r="AL51" s="232" t="str">
        <f t="shared" si="0"/>
        <v/>
      </c>
      <c r="AM51" s="232" t="str">
        <f>IF(AF51&lt;&gt;"",IF(ISNUMBER(T51),COUNT(AM$2:AM50)+1,""),"")</f>
        <v/>
      </c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  <c r="CK51" s="231"/>
      <c r="CL51" s="231"/>
      <c r="CM51" s="231"/>
      <c r="CN51" s="231"/>
      <c r="CO51" s="231"/>
      <c r="CP51" s="231"/>
      <c r="CQ51" s="231"/>
      <c r="CR51" s="231"/>
      <c r="CS51" s="231"/>
      <c r="CT51" s="231"/>
      <c r="CU51" s="231"/>
      <c r="CV51" s="231"/>
    </row>
    <row r="52" spans="17:100" ht="14.1" customHeight="1" x14ac:dyDescent="0.15">
      <c r="Q52"/>
      <c r="T52"/>
      <c r="AF52"/>
      <c r="AG52"/>
      <c r="AH52"/>
      <c r="AI52" s="232" t="str">
        <f>_xlfn.IFNA(IF(INDEX(製品仕様マスタ!C:C,MATCH(W2Pデータ貼り付け!T52,製品仕様マスタ!B:B,0))=0,"",INDEX(製品仕様マスタ!C:C,MATCH(W2Pデータ貼り付け!T52,製品仕様マスタ!B:B,0))),"")</f>
        <v/>
      </c>
      <c r="AJ52" s="232" t="str">
        <f>_xlfn.IFNA(IF(INDEX(製品仕様マスタ!AK:AK,MATCH(W2Pデータ貼り付け!T52,製品仕様マスタ!B:B,0))=0,"",INDEX(製品仕様マスタ!AK:AK,MATCH(W2Pデータ貼り付け!T52,製品仕様マスタ!B:B,0))),"")</f>
        <v/>
      </c>
      <c r="AK52" s="233" t="str">
        <f>_xlfn.IFNA(IF(INDEX(製品仕様マスタ!AY:AY,MATCH(W2Pデータ貼り付け!T52,製品仕様マスタ!B:B,0))=0,"",IF(INDEX(製品仕様マスタ!AY:AY,MATCH(W2Pデータ貼り付け!T52,製品仕様マスタ!B:B,0)) &lt;&gt; "-",INDEX(製品仕様マスタ!AY:AY,MATCH(W2Pデータ貼り付け!T52,製品仕様マスタ!B:B,0)),INDEX(製品仕様マスタ!AZ$1:BZ$500,MATCH(W2Pデータ貼り付け!T52,製品仕様マスタ!B:B,0),MATCH(W2Pデータ貼り付け!V52,製品仕様マスタ!AZ$1:BZ$1,0)))),"")</f>
        <v/>
      </c>
      <c r="AL52" s="232" t="str">
        <f t="shared" si="0"/>
        <v/>
      </c>
      <c r="AM52" s="232" t="str">
        <f>IF(AF52&lt;&gt;"",IF(ISNUMBER(T52),COUNT(AM$2:AM51)+1,""),"")</f>
        <v/>
      </c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  <c r="CK52" s="231"/>
      <c r="CL52" s="231"/>
      <c r="CM52" s="231"/>
      <c r="CN52" s="231"/>
      <c r="CO52" s="231"/>
      <c r="CP52" s="231"/>
      <c r="CQ52" s="231"/>
      <c r="CR52" s="231"/>
      <c r="CS52" s="231"/>
      <c r="CT52" s="231"/>
      <c r="CU52" s="231"/>
      <c r="CV52" s="231"/>
    </row>
    <row r="53" spans="17:100" ht="14.1" customHeight="1" x14ac:dyDescent="0.15">
      <c r="Q53"/>
      <c r="T53"/>
      <c r="AF53"/>
      <c r="AG53"/>
      <c r="AH53"/>
      <c r="AI53" s="232" t="str">
        <f>_xlfn.IFNA(IF(INDEX(製品仕様マスタ!C:C,MATCH(W2Pデータ貼り付け!T53,製品仕様マスタ!B:B,0))=0,"",INDEX(製品仕様マスタ!C:C,MATCH(W2Pデータ貼り付け!T53,製品仕様マスタ!B:B,0))),"")</f>
        <v/>
      </c>
      <c r="AJ53" s="232" t="str">
        <f>_xlfn.IFNA(IF(INDEX(製品仕様マスタ!AK:AK,MATCH(W2Pデータ貼り付け!T53,製品仕様マスタ!B:B,0))=0,"",INDEX(製品仕様マスタ!AK:AK,MATCH(W2Pデータ貼り付け!T53,製品仕様マスタ!B:B,0))),"")</f>
        <v/>
      </c>
      <c r="AK53" s="233" t="str">
        <f>_xlfn.IFNA(IF(INDEX(製品仕様マスタ!AY:AY,MATCH(W2Pデータ貼り付け!T53,製品仕様マスタ!B:B,0))=0,"",IF(INDEX(製品仕様マスタ!AY:AY,MATCH(W2Pデータ貼り付け!T53,製品仕様マスタ!B:B,0)) &lt;&gt; "-",INDEX(製品仕様マスタ!AY:AY,MATCH(W2Pデータ貼り付け!T53,製品仕様マスタ!B:B,0)),INDEX(製品仕様マスタ!AZ$1:BZ$500,MATCH(W2Pデータ貼り付け!T53,製品仕様マスタ!B:B,0),MATCH(W2Pデータ貼り付け!V53,製品仕様マスタ!AZ$1:BZ$1,0)))),"")</f>
        <v/>
      </c>
      <c r="AL53" s="232" t="str">
        <f t="shared" si="0"/>
        <v/>
      </c>
      <c r="AM53" s="232" t="str">
        <f>IF(AF53&lt;&gt;"",IF(ISNUMBER(T53),COUNT(AM$2:AM52)+1,""),"")</f>
        <v/>
      </c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  <c r="CK53" s="231"/>
      <c r="CL53" s="231"/>
      <c r="CM53" s="231"/>
      <c r="CN53" s="231"/>
      <c r="CO53" s="231"/>
      <c r="CP53" s="231"/>
      <c r="CQ53" s="231"/>
      <c r="CR53" s="231"/>
      <c r="CS53" s="231"/>
      <c r="CT53" s="231"/>
      <c r="CU53" s="231"/>
      <c r="CV53" s="231"/>
    </row>
    <row r="54" spans="17:100" ht="14.1" customHeight="1" x14ac:dyDescent="0.15">
      <c r="Q54"/>
      <c r="T54"/>
      <c r="AF54"/>
      <c r="AG54"/>
      <c r="AH54"/>
      <c r="AI54" s="232" t="str">
        <f>_xlfn.IFNA(IF(INDEX(製品仕様マスタ!C:C,MATCH(W2Pデータ貼り付け!T54,製品仕様マスタ!B:B,0))=0,"",INDEX(製品仕様マスタ!C:C,MATCH(W2Pデータ貼り付け!T54,製品仕様マスタ!B:B,0))),"")</f>
        <v/>
      </c>
      <c r="AJ54" s="232" t="str">
        <f>_xlfn.IFNA(IF(INDEX(製品仕様マスタ!AK:AK,MATCH(W2Pデータ貼り付け!T54,製品仕様マスタ!B:B,0))=0,"",INDEX(製品仕様マスタ!AK:AK,MATCH(W2Pデータ貼り付け!T54,製品仕様マスタ!B:B,0))),"")</f>
        <v/>
      </c>
      <c r="AK54" s="233" t="str">
        <f>_xlfn.IFNA(IF(INDEX(製品仕様マスタ!AY:AY,MATCH(W2Pデータ貼り付け!T54,製品仕様マスタ!B:B,0))=0,"",IF(INDEX(製品仕様マスタ!AY:AY,MATCH(W2Pデータ貼り付け!T54,製品仕様マスタ!B:B,0)) &lt;&gt; "-",INDEX(製品仕様マスタ!AY:AY,MATCH(W2Pデータ貼り付け!T54,製品仕様マスタ!B:B,0)),INDEX(製品仕様マスタ!AZ$1:BZ$500,MATCH(W2Pデータ貼り付け!T54,製品仕様マスタ!B:B,0),MATCH(W2Pデータ貼り付け!V54,製品仕様マスタ!AZ$1:BZ$1,0)))),"")</f>
        <v/>
      </c>
      <c r="AL54" s="232" t="str">
        <f t="shared" si="0"/>
        <v/>
      </c>
      <c r="AM54" s="232" t="str">
        <f>IF(AF54&lt;&gt;"",IF(ISNUMBER(T54),COUNT(AM$2:AM53)+1,""),"")</f>
        <v/>
      </c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  <c r="CK54" s="231"/>
      <c r="CL54" s="231"/>
      <c r="CM54" s="231"/>
      <c r="CN54" s="231"/>
      <c r="CO54" s="231"/>
      <c r="CP54" s="231"/>
      <c r="CQ54" s="231"/>
      <c r="CR54" s="231"/>
      <c r="CS54" s="231"/>
      <c r="CT54" s="231"/>
      <c r="CU54" s="231"/>
      <c r="CV54" s="231"/>
    </row>
    <row r="55" spans="17:100" ht="14.1" customHeight="1" x14ac:dyDescent="0.15">
      <c r="Q55"/>
      <c r="T55"/>
      <c r="AF55"/>
      <c r="AG55"/>
      <c r="AH55"/>
      <c r="AI55" s="232" t="str">
        <f>_xlfn.IFNA(IF(INDEX(製品仕様マスタ!C:C,MATCH(W2Pデータ貼り付け!T55,製品仕様マスタ!B:B,0))=0,"",INDEX(製品仕様マスタ!C:C,MATCH(W2Pデータ貼り付け!T55,製品仕様マスタ!B:B,0))),"")</f>
        <v/>
      </c>
      <c r="AJ55" s="232" t="str">
        <f>_xlfn.IFNA(IF(INDEX(製品仕様マスタ!AK:AK,MATCH(W2Pデータ貼り付け!T55,製品仕様マスタ!B:B,0))=0,"",INDEX(製品仕様マスタ!AK:AK,MATCH(W2Pデータ貼り付け!T55,製品仕様マスタ!B:B,0))),"")</f>
        <v/>
      </c>
      <c r="AK55" s="233" t="str">
        <f>_xlfn.IFNA(IF(INDEX(製品仕様マスタ!AY:AY,MATCH(W2Pデータ貼り付け!T55,製品仕様マスタ!B:B,0))=0,"",IF(INDEX(製品仕様マスタ!AY:AY,MATCH(W2Pデータ貼り付け!T55,製品仕様マスタ!B:B,0)) &lt;&gt; "-",INDEX(製品仕様マスタ!AY:AY,MATCH(W2Pデータ貼り付け!T55,製品仕様マスタ!B:B,0)),INDEX(製品仕様マスタ!AZ$1:BZ$500,MATCH(W2Pデータ貼り付け!T55,製品仕様マスタ!B:B,0),MATCH(W2Pデータ貼り付け!V55,製品仕様マスタ!AZ$1:BZ$1,0)))),"")</f>
        <v/>
      </c>
      <c r="AL55" s="232" t="str">
        <f t="shared" si="0"/>
        <v/>
      </c>
      <c r="AM55" s="232" t="str">
        <f>IF(AF55&lt;&gt;"",IF(ISNUMBER(T55),COUNT(AM$2:AM54)+1,""),"")</f>
        <v/>
      </c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  <c r="CK55" s="231"/>
      <c r="CL55" s="231"/>
      <c r="CM55" s="231"/>
      <c r="CN55" s="231"/>
      <c r="CO55" s="231"/>
      <c r="CP55" s="231"/>
      <c r="CQ55" s="231"/>
      <c r="CR55" s="231"/>
      <c r="CS55" s="231"/>
      <c r="CT55" s="231"/>
      <c r="CU55" s="231"/>
      <c r="CV55" s="231"/>
    </row>
    <row r="56" spans="17:100" ht="14.1" customHeight="1" x14ac:dyDescent="0.15">
      <c r="Q56"/>
      <c r="T56"/>
      <c r="AF56"/>
      <c r="AG56"/>
      <c r="AH56"/>
      <c r="AI56" s="232" t="str">
        <f>_xlfn.IFNA(IF(INDEX(製品仕様マスタ!C:C,MATCH(W2Pデータ貼り付け!T56,製品仕様マスタ!B:B,0))=0,"",INDEX(製品仕様マスタ!C:C,MATCH(W2Pデータ貼り付け!T56,製品仕様マスタ!B:B,0))),"")</f>
        <v/>
      </c>
      <c r="AJ56" s="232" t="str">
        <f>_xlfn.IFNA(IF(INDEX(製品仕様マスタ!AK:AK,MATCH(W2Pデータ貼り付け!T56,製品仕様マスタ!B:B,0))=0,"",INDEX(製品仕様マスタ!AK:AK,MATCH(W2Pデータ貼り付け!T56,製品仕様マスタ!B:B,0))),"")</f>
        <v/>
      </c>
      <c r="AK56" s="233" t="str">
        <f>_xlfn.IFNA(IF(INDEX(製品仕様マスタ!AY:AY,MATCH(W2Pデータ貼り付け!T56,製品仕様マスタ!B:B,0))=0,"",IF(INDEX(製品仕様マスタ!AY:AY,MATCH(W2Pデータ貼り付け!T56,製品仕様マスタ!B:B,0)) &lt;&gt; "-",INDEX(製品仕様マスタ!AY:AY,MATCH(W2Pデータ貼り付け!T56,製品仕様マスタ!B:B,0)),INDEX(製品仕様マスタ!AZ$1:BZ$500,MATCH(W2Pデータ貼り付け!T56,製品仕様マスタ!B:B,0),MATCH(W2Pデータ貼り付け!V56,製品仕様マスタ!AZ$1:BZ$1,0)))),"")</f>
        <v/>
      </c>
      <c r="AL56" s="232" t="str">
        <f t="shared" si="0"/>
        <v/>
      </c>
      <c r="AM56" s="232" t="str">
        <f>IF(AF56&lt;&gt;"",IF(ISNUMBER(T56),COUNT(AM$2:AM55)+1,""),"")</f>
        <v/>
      </c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  <c r="CK56" s="231"/>
      <c r="CL56" s="231"/>
      <c r="CM56" s="231"/>
      <c r="CN56" s="231"/>
      <c r="CO56" s="231"/>
      <c r="CP56" s="231"/>
      <c r="CQ56" s="231"/>
      <c r="CR56" s="231"/>
      <c r="CS56" s="231"/>
      <c r="CT56" s="231"/>
      <c r="CU56" s="231"/>
      <c r="CV56" s="231"/>
    </row>
    <row r="57" spans="17:100" ht="14.1" customHeight="1" x14ac:dyDescent="0.15">
      <c r="Q57"/>
      <c r="T57"/>
      <c r="AF57"/>
      <c r="AG57"/>
      <c r="AH57"/>
      <c r="AI57" s="232" t="str">
        <f>_xlfn.IFNA(IF(INDEX(製品仕様マスタ!C:C,MATCH(W2Pデータ貼り付け!T57,製品仕様マスタ!B:B,0))=0,"",INDEX(製品仕様マスタ!C:C,MATCH(W2Pデータ貼り付け!T57,製品仕様マスタ!B:B,0))),"")</f>
        <v/>
      </c>
      <c r="AJ57" s="232" t="str">
        <f>_xlfn.IFNA(IF(INDEX(製品仕様マスタ!AK:AK,MATCH(W2Pデータ貼り付け!T57,製品仕様マスタ!B:B,0))=0,"",INDEX(製品仕様マスタ!AK:AK,MATCH(W2Pデータ貼り付け!T57,製品仕様マスタ!B:B,0))),"")</f>
        <v/>
      </c>
      <c r="AK57" s="233" t="str">
        <f>_xlfn.IFNA(IF(INDEX(製品仕様マスタ!AY:AY,MATCH(W2Pデータ貼り付け!T57,製品仕様マスタ!B:B,0))=0,"",IF(INDEX(製品仕様マスタ!AY:AY,MATCH(W2Pデータ貼り付け!T57,製品仕様マスタ!B:B,0)) &lt;&gt; "-",INDEX(製品仕様マスタ!AY:AY,MATCH(W2Pデータ貼り付け!T57,製品仕様マスタ!B:B,0)),INDEX(製品仕様マスタ!AZ$1:BZ$500,MATCH(W2Pデータ貼り付け!T57,製品仕様マスタ!B:B,0),MATCH(W2Pデータ貼り付け!V57,製品仕様マスタ!AZ$1:BZ$1,0)))),"")</f>
        <v/>
      </c>
      <c r="AL57" s="232" t="str">
        <f t="shared" si="0"/>
        <v/>
      </c>
      <c r="AM57" s="232" t="str">
        <f>IF(AF57&lt;&gt;"",IF(ISNUMBER(T57),COUNT(AM$2:AM56)+1,""),"")</f>
        <v/>
      </c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  <c r="CK57" s="231"/>
      <c r="CL57" s="231"/>
      <c r="CM57" s="231"/>
      <c r="CN57" s="231"/>
      <c r="CO57" s="231"/>
      <c r="CP57" s="231"/>
      <c r="CQ57" s="231"/>
      <c r="CR57" s="231"/>
      <c r="CS57" s="231"/>
      <c r="CT57" s="231"/>
      <c r="CU57" s="231"/>
      <c r="CV57" s="231"/>
    </row>
    <row r="58" spans="17:100" ht="14.1" customHeight="1" x14ac:dyDescent="0.15">
      <c r="Q58"/>
      <c r="T58"/>
      <c r="AF58"/>
      <c r="AG58"/>
      <c r="AH58"/>
      <c r="AI58" s="232" t="str">
        <f>_xlfn.IFNA(IF(INDEX(製品仕様マスタ!C:C,MATCH(W2Pデータ貼り付け!T58,製品仕様マスタ!B:B,0))=0,"",INDEX(製品仕様マスタ!C:C,MATCH(W2Pデータ貼り付け!T58,製品仕様マスタ!B:B,0))),"")</f>
        <v/>
      </c>
      <c r="AJ58" s="232" t="str">
        <f>_xlfn.IFNA(IF(INDEX(製品仕様マスタ!AK:AK,MATCH(W2Pデータ貼り付け!T58,製品仕様マスタ!B:B,0))=0,"",INDEX(製品仕様マスタ!AK:AK,MATCH(W2Pデータ貼り付け!T58,製品仕様マスタ!B:B,0))),"")</f>
        <v/>
      </c>
      <c r="AK58" s="233" t="str">
        <f>_xlfn.IFNA(IF(INDEX(製品仕様マスタ!AY:AY,MATCH(W2Pデータ貼り付け!T58,製品仕様マスタ!B:B,0))=0,"",IF(INDEX(製品仕様マスタ!AY:AY,MATCH(W2Pデータ貼り付け!T58,製品仕様マスタ!B:B,0)) &lt;&gt; "-",INDEX(製品仕様マスタ!AY:AY,MATCH(W2Pデータ貼り付け!T58,製品仕様マスタ!B:B,0)),INDEX(製品仕様マスタ!AZ$1:BZ$500,MATCH(W2Pデータ貼り付け!T58,製品仕様マスタ!B:B,0),MATCH(W2Pデータ貼り付け!V58,製品仕様マスタ!AZ$1:BZ$1,0)))),"")</f>
        <v/>
      </c>
      <c r="AL58" s="232" t="str">
        <f t="shared" si="0"/>
        <v/>
      </c>
      <c r="AM58" s="232" t="str">
        <f>IF(AF58&lt;&gt;"",IF(ISNUMBER(T58),COUNT(AM$2:AM57)+1,""),"")</f>
        <v/>
      </c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  <c r="CK58" s="231"/>
      <c r="CL58" s="231"/>
      <c r="CM58" s="231"/>
      <c r="CN58" s="231"/>
      <c r="CO58" s="231"/>
      <c r="CP58" s="231"/>
      <c r="CQ58" s="231"/>
      <c r="CR58" s="231"/>
      <c r="CS58" s="231"/>
      <c r="CT58" s="231"/>
      <c r="CU58" s="231"/>
      <c r="CV58" s="231"/>
    </row>
    <row r="59" spans="17:100" ht="14.1" customHeight="1" x14ac:dyDescent="0.15">
      <c r="Q59"/>
      <c r="T59"/>
      <c r="AF59"/>
      <c r="AG59"/>
      <c r="AH59"/>
      <c r="AI59" s="232" t="str">
        <f>_xlfn.IFNA(IF(INDEX(製品仕様マスタ!C:C,MATCH(W2Pデータ貼り付け!T59,製品仕様マスタ!B:B,0))=0,"",INDEX(製品仕様マスタ!C:C,MATCH(W2Pデータ貼り付け!T59,製品仕様マスタ!B:B,0))),"")</f>
        <v/>
      </c>
      <c r="AJ59" s="232" t="str">
        <f>_xlfn.IFNA(IF(INDEX(製品仕様マスタ!AK:AK,MATCH(W2Pデータ貼り付け!T59,製品仕様マスタ!B:B,0))=0,"",INDEX(製品仕様マスタ!AK:AK,MATCH(W2Pデータ貼り付け!T59,製品仕様マスタ!B:B,0))),"")</f>
        <v/>
      </c>
      <c r="AK59" s="233" t="str">
        <f>_xlfn.IFNA(IF(INDEX(製品仕様マスタ!AY:AY,MATCH(W2Pデータ貼り付け!T59,製品仕様マスタ!B:B,0))=0,"",IF(INDEX(製品仕様マスタ!AY:AY,MATCH(W2Pデータ貼り付け!T59,製品仕様マスタ!B:B,0)) &lt;&gt; "-",INDEX(製品仕様マスタ!AY:AY,MATCH(W2Pデータ貼り付け!T59,製品仕様マスタ!B:B,0)),INDEX(製品仕様マスタ!AZ$1:BZ$500,MATCH(W2Pデータ貼り付け!T59,製品仕様マスタ!B:B,0),MATCH(W2Pデータ貼り付け!V59,製品仕様マスタ!AZ$1:BZ$1,0)))),"")</f>
        <v/>
      </c>
      <c r="AL59" s="232" t="str">
        <f t="shared" si="0"/>
        <v/>
      </c>
      <c r="AM59" s="232" t="str">
        <f>IF(AF59&lt;&gt;"",IF(ISNUMBER(T59),COUNT(AM$2:AM58)+1,""),"")</f>
        <v/>
      </c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  <c r="CK59" s="231"/>
      <c r="CL59" s="231"/>
      <c r="CM59" s="231"/>
      <c r="CN59" s="231"/>
      <c r="CO59" s="231"/>
      <c r="CP59" s="231"/>
      <c r="CQ59" s="231"/>
      <c r="CR59" s="231"/>
      <c r="CS59" s="231"/>
      <c r="CT59" s="231"/>
      <c r="CU59" s="231"/>
      <c r="CV59" s="231"/>
    </row>
    <row r="60" spans="17:100" ht="14.1" customHeight="1" x14ac:dyDescent="0.15">
      <c r="Q60"/>
      <c r="T60"/>
      <c r="AF60"/>
      <c r="AG60"/>
      <c r="AH60"/>
      <c r="AI60" s="232" t="str">
        <f>_xlfn.IFNA(IF(INDEX(製品仕様マスタ!C:C,MATCH(W2Pデータ貼り付け!T60,製品仕様マスタ!B:B,0))=0,"",INDEX(製品仕様マスタ!C:C,MATCH(W2Pデータ貼り付け!T60,製品仕様マスタ!B:B,0))),"")</f>
        <v/>
      </c>
      <c r="AJ60" s="232" t="str">
        <f>_xlfn.IFNA(IF(INDEX(製品仕様マスタ!AK:AK,MATCH(W2Pデータ貼り付け!T60,製品仕様マスタ!B:B,0))=0,"",INDEX(製品仕様マスタ!AK:AK,MATCH(W2Pデータ貼り付け!T60,製品仕様マスタ!B:B,0))),"")</f>
        <v/>
      </c>
      <c r="AK60" s="233" t="str">
        <f>_xlfn.IFNA(IF(INDEX(製品仕様マスタ!AY:AY,MATCH(W2Pデータ貼り付け!T60,製品仕様マスタ!B:B,0))=0,"",IF(INDEX(製品仕様マスタ!AY:AY,MATCH(W2Pデータ貼り付け!T60,製品仕様マスタ!B:B,0)) &lt;&gt; "-",INDEX(製品仕様マスタ!AY:AY,MATCH(W2Pデータ貼り付け!T60,製品仕様マスタ!B:B,0)),INDEX(製品仕様マスタ!AZ$1:BZ$500,MATCH(W2Pデータ貼り付け!T60,製品仕様マスタ!B:B,0),MATCH(W2Pデータ貼り付け!V60,製品仕様マスタ!AZ$1:BZ$1,0)))),"")</f>
        <v/>
      </c>
      <c r="AL60" s="232" t="str">
        <f t="shared" si="0"/>
        <v/>
      </c>
      <c r="AM60" s="232" t="str">
        <f>IF(AF60&lt;&gt;"",IF(ISNUMBER(T60),COUNT(AM$2:AM59)+1,""),"")</f>
        <v/>
      </c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  <c r="CK60" s="231"/>
      <c r="CL60" s="231"/>
      <c r="CM60" s="231"/>
      <c r="CN60" s="231"/>
      <c r="CO60" s="231"/>
      <c r="CP60" s="231"/>
      <c r="CQ60" s="231"/>
      <c r="CR60" s="231"/>
      <c r="CS60" s="231"/>
      <c r="CT60" s="231"/>
      <c r="CU60" s="231"/>
      <c r="CV60" s="231"/>
    </row>
    <row r="61" spans="17:100" ht="14.1" customHeight="1" x14ac:dyDescent="0.15">
      <c r="Q61"/>
      <c r="T61"/>
      <c r="AF61"/>
      <c r="AG61"/>
      <c r="AH61"/>
      <c r="AI61" s="232" t="str">
        <f>_xlfn.IFNA(IF(INDEX(製品仕様マスタ!C:C,MATCH(W2Pデータ貼り付け!T61,製品仕様マスタ!B:B,0))=0,"",INDEX(製品仕様マスタ!C:C,MATCH(W2Pデータ貼り付け!T61,製品仕様マスタ!B:B,0))),"")</f>
        <v/>
      </c>
      <c r="AJ61" s="232" t="str">
        <f>_xlfn.IFNA(IF(INDEX(製品仕様マスタ!AK:AK,MATCH(W2Pデータ貼り付け!T61,製品仕様マスタ!B:B,0))=0,"",INDEX(製品仕様マスタ!AK:AK,MATCH(W2Pデータ貼り付け!T61,製品仕様マスタ!B:B,0))),"")</f>
        <v/>
      </c>
      <c r="AK61" s="233" t="str">
        <f>_xlfn.IFNA(IF(INDEX(製品仕様マスタ!AY:AY,MATCH(W2Pデータ貼り付け!T61,製品仕様マスタ!B:B,0))=0,"",IF(INDEX(製品仕様マスタ!AY:AY,MATCH(W2Pデータ貼り付け!T61,製品仕様マスタ!B:B,0)) &lt;&gt; "-",INDEX(製品仕様マスタ!AY:AY,MATCH(W2Pデータ貼り付け!T61,製品仕様マスタ!B:B,0)),INDEX(製品仕様マスタ!AZ$1:BZ$500,MATCH(W2Pデータ貼り付け!T61,製品仕様マスタ!B:B,0),MATCH(W2Pデータ貼り付け!V61,製品仕様マスタ!AZ$1:BZ$1,0)))),"")</f>
        <v/>
      </c>
      <c r="AL61" s="232" t="str">
        <f t="shared" si="0"/>
        <v/>
      </c>
      <c r="AM61" s="232" t="str">
        <f>IF(AF61&lt;&gt;"",IF(ISNUMBER(T61),COUNT(AM$2:AM60)+1,""),"")</f>
        <v/>
      </c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  <c r="CK61" s="231"/>
      <c r="CL61" s="231"/>
      <c r="CM61" s="231"/>
      <c r="CN61" s="231"/>
      <c r="CO61" s="231"/>
      <c r="CP61" s="231"/>
      <c r="CQ61" s="231"/>
      <c r="CR61" s="231"/>
      <c r="CS61" s="231"/>
      <c r="CT61" s="231"/>
      <c r="CU61" s="231"/>
      <c r="CV61" s="231"/>
    </row>
    <row r="62" spans="17:100" ht="14.1" customHeight="1" x14ac:dyDescent="0.15">
      <c r="Q62"/>
      <c r="T62"/>
      <c r="AF62"/>
      <c r="AG62"/>
      <c r="AH62"/>
      <c r="AI62" s="232" t="str">
        <f>_xlfn.IFNA(IF(INDEX(製品仕様マスタ!C:C,MATCH(W2Pデータ貼り付け!T62,製品仕様マスタ!B:B,0))=0,"",INDEX(製品仕様マスタ!C:C,MATCH(W2Pデータ貼り付け!T62,製品仕様マスタ!B:B,0))),"")</f>
        <v/>
      </c>
      <c r="AJ62" s="232" t="str">
        <f>_xlfn.IFNA(IF(INDEX(製品仕様マスタ!AK:AK,MATCH(W2Pデータ貼り付け!T62,製品仕様マスタ!B:B,0))=0,"",INDEX(製品仕様マスタ!AK:AK,MATCH(W2Pデータ貼り付け!T62,製品仕様マスタ!B:B,0))),"")</f>
        <v/>
      </c>
      <c r="AK62" s="233" t="str">
        <f>_xlfn.IFNA(IF(INDEX(製品仕様マスタ!AY:AY,MATCH(W2Pデータ貼り付け!T62,製品仕様マスタ!B:B,0))=0,"",IF(INDEX(製品仕様マスタ!AY:AY,MATCH(W2Pデータ貼り付け!T62,製品仕様マスタ!B:B,0)) &lt;&gt; "-",INDEX(製品仕様マスタ!AY:AY,MATCH(W2Pデータ貼り付け!T62,製品仕様マスタ!B:B,0)),INDEX(製品仕様マスタ!AZ$1:BZ$500,MATCH(W2Pデータ貼り付け!T62,製品仕様マスタ!B:B,0),MATCH(W2Pデータ貼り付け!V62,製品仕様マスタ!AZ$1:BZ$1,0)))),"")</f>
        <v/>
      </c>
      <c r="AL62" s="232" t="str">
        <f t="shared" si="0"/>
        <v/>
      </c>
      <c r="AM62" s="232" t="str">
        <f>IF(AF62&lt;&gt;"",IF(ISNUMBER(T62),COUNT(AM$2:AM61)+1,""),"")</f>
        <v/>
      </c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  <c r="CK62" s="231"/>
      <c r="CL62" s="231"/>
      <c r="CM62" s="231"/>
      <c r="CN62" s="231"/>
      <c r="CO62" s="231"/>
      <c r="CP62" s="231"/>
      <c r="CQ62" s="231"/>
      <c r="CR62" s="231"/>
      <c r="CS62" s="231"/>
      <c r="CT62" s="231"/>
      <c r="CU62" s="231"/>
      <c r="CV62" s="231"/>
    </row>
    <row r="63" spans="17:100" ht="14.1" customHeight="1" x14ac:dyDescent="0.15">
      <c r="Q63"/>
      <c r="T63"/>
      <c r="AF63"/>
      <c r="AG63"/>
      <c r="AH63"/>
      <c r="AI63" s="232" t="str">
        <f>_xlfn.IFNA(IF(INDEX(製品仕様マスタ!C:C,MATCH(W2Pデータ貼り付け!T63,製品仕様マスタ!B:B,0))=0,"",INDEX(製品仕様マスタ!C:C,MATCH(W2Pデータ貼り付け!T63,製品仕様マスタ!B:B,0))),"")</f>
        <v/>
      </c>
      <c r="AJ63" s="232" t="str">
        <f>_xlfn.IFNA(IF(INDEX(製品仕様マスタ!AK:AK,MATCH(W2Pデータ貼り付け!T63,製品仕様マスタ!B:B,0))=0,"",INDEX(製品仕様マスタ!AK:AK,MATCH(W2Pデータ貼り付け!T63,製品仕様マスタ!B:B,0))),"")</f>
        <v/>
      </c>
      <c r="AK63" s="233" t="str">
        <f>_xlfn.IFNA(IF(INDEX(製品仕様マスタ!AY:AY,MATCH(W2Pデータ貼り付け!T63,製品仕様マスタ!B:B,0))=0,"",IF(INDEX(製品仕様マスタ!AY:AY,MATCH(W2Pデータ貼り付け!T63,製品仕様マスタ!B:B,0)) &lt;&gt; "-",INDEX(製品仕様マスタ!AY:AY,MATCH(W2Pデータ貼り付け!T63,製品仕様マスタ!B:B,0)),INDEX(製品仕様マスタ!AZ$1:BZ$500,MATCH(W2Pデータ貼り付け!T63,製品仕様マスタ!B:B,0),MATCH(W2Pデータ貼り付け!V63,製品仕様マスタ!AZ$1:BZ$1,0)))),"")</f>
        <v/>
      </c>
      <c r="AL63" s="232" t="str">
        <f t="shared" si="0"/>
        <v/>
      </c>
      <c r="AM63" s="232" t="str">
        <f>IF(AF63&lt;&gt;"",IF(ISNUMBER(T63),COUNT(AM$2:AM62)+1,""),"")</f>
        <v/>
      </c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  <c r="CK63" s="231"/>
      <c r="CL63" s="231"/>
      <c r="CM63" s="231"/>
      <c r="CN63" s="231"/>
      <c r="CO63" s="231"/>
      <c r="CP63" s="231"/>
      <c r="CQ63" s="231"/>
      <c r="CR63" s="231"/>
      <c r="CS63" s="231"/>
      <c r="CT63" s="231"/>
      <c r="CU63" s="231"/>
      <c r="CV63" s="231"/>
    </row>
    <row r="64" spans="17:100" ht="14.1" customHeight="1" x14ac:dyDescent="0.15">
      <c r="Q64"/>
      <c r="T64"/>
      <c r="AF64"/>
      <c r="AG64"/>
      <c r="AH64"/>
      <c r="AI64" s="232" t="str">
        <f>_xlfn.IFNA(IF(INDEX(製品仕様マスタ!C:C,MATCH(W2Pデータ貼り付け!T64,製品仕様マスタ!B:B,0))=0,"",INDEX(製品仕様マスタ!C:C,MATCH(W2Pデータ貼り付け!T64,製品仕様マスタ!B:B,0))),"")</f>
        <v/>
      </c>
      <c r="AJ64" s="232" t="str">
        <f>_xlfn.IFNA(IF(INDEX(製品仕様マスタ!AK:AK,MATCH(W2Pデータ貼り付け!T64,製品仕様マスタ!B:B,0))=0,"",INDEX(製品仕様マスタ!AK:AK,MATCH(W2Pデータ貼り付け!T64,製品仕様マスタ!B:B,0))),"")</f>
        <v/>
      </c>
      <c r="AK64" s="233" t="str">
        <f>_xlfn.IFNA(IF(INDEX(製品仕様マスタ!AY:AY,MATCH(W2Pデータ貼り付け!T64,製品仕様マスタ!B:B,0))=0,"",IF(INDEX(製品仕様マスタ!AY:AY,MATCH(W2Pデータ貼り付け!T64,製品仕様マスタ!B:B,0)) &lt;&gt; "-",INDEX(製品仕様マスタ!AY:AY,MATCH(W2Pデータ貼り付け!T64,製品仕様マスタ!B:B,0)),INDEX(製品仕様マスタ!AZ$1:BZ$500,MATCH(W2Pデータ貼り付け!T64,製品仕様マスタ!B:B,0),MATCH(W2Pデータ貼り付け!V64,製品仕様マスタ!AZ$1:BZ$1,0)))),"")</f>
        <v/>
      </c>
      <c r="AL64" s="232" t="str">
        <f t="shared" si="0"/>
        <v/>
      </c>
      <c r="AM64" s="232" t="str">
        <f>IF(AF64&lt;&gt;"",IF(ISNUMBER(T64),COUNT(AM$2:AM63)+1,""),"")</f>
        <v/>
      </c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  <c r="CK64" s="231"/>
      <c r="CL64" s="231"/>
      <c r="CM64" s="231"/>
      <c r="CN64" s="231"/>
      <c r="CO64" s="231"/>
      <c r="CP64" s="231"/>
      <c r="CQ64" s="231"/>
      <c r="CR64" s="231"/>
      <c r="CS64" s="231"/>
      <c r="CT64" s="231"/>
      <c r="CU64" s="231"/>
      <c r="CV64" s="231"/>
    </row>
    <row r="65" spans="17:100" ht="14.1" customHeight="1" x14ac:dyDescent="0.15">
      <c r="Q65"/>
      <c r="T65"/>
      <c r="AF65"/>
      <c r="AG65"/>
      <c r="AH65"/>
      <c r="AI65" s="232" t="str">
        <f>_xlfn.IFNA(IF(INDEX(製品仕様マスタ!C:C,MATCH(W2Pデータ貼り付け!T65,製品仕様マスタ!B:B,0))=0,"",INDEX(製品仕様マスタ!C:C,MATCH(W2Pデータ貼り付け!T65,製品仕様マスタ!B:B,0))),"")</f>
        <v/>
      </c>
      <c r="AJ65" s="232" t="str">
        <f>_xlfn.IFNA(IF(INDEX(製品仕様マスタ!AK:AK,MATCH(W2Pデータ貼り付け!T65,製品仕様マスタ!B:B,0))=0,"",INDEX(製品仕様マスタ!AK:AK,MATCH(W2Pデータ貼り付け!T65,製品仕様マスタ!B:B,0))),"")</f>
        <v/>
      </c>
      <c r="AK65" s="233" t="str">
        <f>_xlfn.IFNA(IF(INDEX(製品仕様マスタ!AY:AY,MATCH(W2Pデータ貼り付け!T65,製品仕様マスタ!B:B,0))=0,"",IF(INDEX(製品仕様マスタ!AY:AY,MATCH(W2Pデータ貼り付け!T65,製品仕様マスタ!B:B,0)) &lt;&gt; "-",INDEX(製品仕様マスタ!AY:AY,MATCH(W2Pデータ貼り付け!T65,製品仕様マスタ!B:B,0)),INDEX(製品仕様マスタ!AZ$1:BZ$500,MATCH(W2Pデータ貼り付け!T65,製品仕様マスタ!B:B,0),MATCH(W2Pデータ貼り付け!V65,製品仕様マスタ!AZ$1:BZ$1,0)))),"")</f>
        <v/>
      </c>
      <c r="AL65" s="232" t="str">
        <f t="shared" si="0"/>
        <v/>
      </c>
      <c r="AM65" s="232" t="str">
        <f>IF(AF65&lt;&gt;"",IF(ISNUMBER(T65),COUNT(AM$2:AM64)+1,""),"")</f>
        <v/>
      </c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  <c r="CK65" s="231"/>
      <c r="CL65" s="231"/>
      <c r="CM65" s="231"/>
      <c r="CN65" s="231"/>
      <c r="CO65" s="231"/>
      <c r="CP65" s="231"/>
      <c r="CQ65" s="231"/>
      <c r="CR65" s="231"/>
      <c r="CS65" s="231"/>
      <c r="CT65" s="231"/>
      <c r="CU65" s="231"/>
      <c r="CV65" s="231"/>
    </row>
    <row r="66" spans="17:100" ht="14.1" customHeight="1" x14ac:dyDescent="0.15">
      <c r="Q66"/>
      <c r="T66"/>
      <c r="AF66"/>
      <c r="AG66"/>
      <c r="AH66"/>
      <c r="AI66" s="232" t="str">
        <f>_xlfn.IFNA(IF(INDEX(製品仕様マスタ!C:C,MATCH(W2Pデータ貼り付け!T66,製品仕様マスタ!B:B,0))=0,"",INDEX(製品仕様マスタ!C:C,MATCH(W2Pデータ貼り付け!T66,製品仕様マスタ!B:B,0))),"")</f>
        <v/>
      </c>
      <c r="AJ66" s="232" t="str">
        <f>_xlfn.IFNA(IF(INDEX(製品仕様マスタ!AK:AK,MATCH(W2Pデータ貼り付け!T66,製品仕様マスタ!B:B,0))=0,"",INDEX(製品仕様マスタ!AK:AK,MATCH(W2Pデータ貼り付け!T66,製品仕様マスタ!B:B,0))),"")</f>
        <v/>
      </c>
      <c r="AK66" s="233" t="str">
        <f>_xlfn.IFNA(IF(INDEX(製品仕様マスタ!AY:AY,MATCH(W2Pデータ貼り付け!T66,製品仕様マスタ!B:B,0))=0,"",IF(INDEX(製品仕様マスタ!AY:AY,MATCH(W2Pデータ貼り付け!T66,製品仕様マスタ!B:B,0)) &lt;&gt; "-",INDEX(製品仕様マスタ!AY:AY,MATCH(W2Pデータ貼り付け!T66,製品仕様マスタ!B:B,0)),INDEX(製品仕様マスタ!AZ$1:BZ$500,MATCH(W2Pデータ貼り付け!T66,製品仕様マスタ!B:B,0),MATCH(W2Pデータ貼り付け!V66,製品仕様マスタ!AZ$1:BZ$1,0)))),"")</f>
        <v/>
      </c>
      <c r="AL66" s="232" t="str">
        <f t="shared" ref="AL66:AL129" si="1">IFERROR(V66*AK66,"")</f>
        <v/>
      </c>
      <c r="AM66" s="232" t="str">
        <f>IF(AF66&lt;&gt;"",IF(ISNUMBER(T66),COUNT(AM$2:AM65)+1,""),"")</f>
        <v/>
      </c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  <c r="CK66" s="231"/>
      <c r="CL66" s="231"/>
      <c r="CM66" s="231"/>
      <c r="CN66" s="231"/>
      <c r="CO66" s="231"/>
      <c r="CP66" s="231"/>
      <c r="CQ66" s="231"/>
      <c r="CR66" s="231"/>
      <c r="CS66" s="231"/>
      <c r="CT66" s="231"/>
      <c r="CU66" s="231"/>
      <c r="CV66" s="231"/>
    </row>
    <row r="67" spans="17:100" ht="14.1" customHeight="1" x14ac:dyDescent="0.15">
      <c r="Q67"/>
      <c r="T67"/>
      <c r="AF67"/>
      <c r="AG67"/>
      <c r="AH67"/>
      <c r="AI67" s="232" t="str">
        <f>_xlfn.IFNA(IF(INDEX(製品仕様マスタ!C:C,MATCH(W2Pデータ貼り付け!T67,製品仕様マスタ!B:B,0))=0,"",INDEX(製品仕様マスタ!C:C,MATCH(W2Pデータ貼り付け!T67,製品仕様マスタ!B:B,0))),"")</f>
        <v/>
      </c>
      <c r="AJ67" s="232" t="str">
        <f>_xlfn.IFNA(IF(INDEX(製品仕様マスタ!AK:AK,MATCH(W2Pデータ貼り付け!T67,製品仕様マスタ!B:B,0))=0,"",INDEX(製品仕様マスタ!AK:AK,MATCH(W2Pデータ貼り付け!T67,製品仕様マスタ!B:B,0))),"")</f>
        <v/>
      </c>
      <c r="AK67" s="233" t="str">
        <f>_xlfn.IFNA(IF(INDEX(製品仕様マスタ!AY:AY,MATCH(W2Pデータ貼り付け!T67,製品仕様マスタ!B:B,0))=0,"",IF(INDEX(製品仕様マスタ!AY:AY,MATCH(W2Pデータ貼り付け!T67,製品仕様マスタ!B:B,0)) &lt;&gt; "-",INDEX(製品仕様マスタ!AY:AY,MATCH(W2Pデータ貼り付け!T67,製品仕様マスタ!B:B,0)),INDEX(製品仕様マスタ!AZ$1:BZ$500,MATCH(W2Pデータ貼り付け!T67,製品仕様マスタ!B:B,0),MATCH(W2Pデータ貼り付け!V67,製品仕様マスタ!AZ$1:BZ$1,0)))),"")</f>
        <v/>
      </c>
      <c r="AL67" s="232" t="str">
        <f t="shared" si="1"/>
        <v/>
      </c>
      <c r="AM67" s="232" t="str">
        <f>IF(AF67&lt;&gt;"",IF(ISNUMBER(T67),COUNT(AM$2:AM66)+1,""),"")</f>
        <v/>
      </c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  <c r="CK67" s="231"/>
      <c r="CL67" s="231"/>
      <c r="CM67" s="231"/>
      <c r="CN67" s="231"/>
      <c r="CO67" s="231"/>
      <c r="CP67" s="231"/>
      <c r="CQ67" s="231"/>
      <c r="CR67" s="231"/>
      <c r="CS67" s="231"/>
      <c r="CT67" s="231"/>
      <c r="CU67" s="231"/>
      <c r="CV67" s="231"/>
    </row>
    <row r="68" spans="17:100" ht="14.1" customHeight="1" x14ac:dyDescent="0.15">
      <c r="Q68"/>
      <c r="T68"/>
      <c r="AF68"/>
      <c r="AG68"/>
      <c r="AH68"/>
      <c r="AI68" s="232" t="str">
        <f>_xlfn.IFNA(IF(INDEX(製品仕様マスタ!C:C,MATCH(W2Pデータ貼り付け!T68,製品仕様マスタ!B:B,0))=0,"",INDEX(製品仕様マスタ!C:C,MATCH(W2Pデータ貼り付け!T68,製品仕様マスタ!B:B,0))),"")</f>
        <v/>
      </c>
      <c r="AJ68" s="232" t="str">
        <f>_xlfn.IFNA(IF(INDEX(製品仕様マスタ!AK:AK,MATCH(W2Pデータ貼り付け!T68,製品仕様マスタ!B:B,0))=0,"",INDEX(製品仕様マスタ!AK:AK,MATCH(W2Pデータ貼り付け!T68,製品仕様マスタ!B:B,0))),"")</f>
        <v/>
      </c>
      <c r="AK68" s="233" t="str">
        <f>_xlfn.IFNA(IF(INDEX(製品仕様マスタ!AY:AY,MATCH(W2Pデータ貼り付け!T68,製品仕様マスタ!B:B,0))=0,"",IF(INDEX(製品仕様マスタ!AY:AY,MATCH(W2Pデータ貼り付け!T68,製品仕様マスタ!B:B,0)) &lt;&gt; "-",INDEX(製品仕様マスタ!AY:AY,MATCH(W2Pデータ貼り付け!T68,製品仕様マスタ!B:B,0)),INDEX(製品仕様マスタ!AZ$1:BZ$500,MATCH(W2Pデータ貼り付け!T68,製品仕様マスタ!B:B,0),MATCH(W2Pデータ貼り付け!V68,製品仕様マスタ!AZ$1:BZ$1,0)))),"")</f>
        <v/>
      </c>
      <c r="AL68" s="232" t="str">
        <f t="shared" si="1"/>
        <v/>
      </c>
      <c r="AM68" s="232" t="str">
        <f>IF(AF68&lt;&gt;"",IF(ISNUMBER(T68),COUNT(AM$2:AM67)+1,""),"")</f>
        <v/>
      </c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  <c r="CK68" s="231"/>
      <c r="CL68" s="231"/>
      <c r="CM68" s="231"/>
      <c r="CN68" s="231"/>
      <c r="CO68" s="231"/>
      <c r="CP68" s="231"/>
      <c r="CQ68" s="231"/>
      <c r="CR68" s="231"/>
      <c r="CS68" s="231"/>
      <c r="CT68" s="231"/>
      <c r="CU68" s="231"/>
      <c r="CV68" s="231"/>
    </row>
    <row r="69" spans="17:100" ht="14.1" customHeight="1" x14ac:dyDescent="0.15">
      <c r="Q69"/>
      <c r="T69"/>
      <c r="AF69"/>
      <c r="AG69"/>
      <c r="AH69"/>
      <c r="AI69" s="232" t="str">
        <f>_xlfn.IFNA(IF(INDEX(製品仕様マスタ!C:C,MATCH(W2Pデータ貼り付け!T69,製品仕様マスタ!B:B,0))=0,"",INDEX(製品仕様マスタ!C:C,MATCH(W2Pデータ貼り付け!T69,製品仕様マスタ!B:B,0))),"")</f>
        <v/>
      </c>
      <c r="AJ69" s="232" t="str">
        <f>_xlfn.IFNA(IF(INDEX(製品仕様マスタ!AK:AK,MATCH(W2Pデータ貼り付け!T69,製品仕様マスタ!B:B,0))=0,"",INDEX(製品仕様マスタ!AK:AK,MATCH(W2Pデータ貼り付け!T69,製品仕様マスタ!B:B,0))),"")</f>
        <v/>
      </c>
      <c r="AK69" s="233" t="str">
        <f>_xlfn.IFNA(IF(INDEX(製品仕様マスタ!AY:AY,MATCH(W2Pデータ貼り付け!T69,製品仕様マスタ!B:B,0))=0,"",IF(INDEX(製品仕様マスタ!AY:AY,MATCH(W2Pデータ貼り付け!T69,製品仕様マスタ!B:B,0)) &lt;&gt; "-",INDEX(製品仕様マスタ!AY:AY,MATCH(W2Pデータ貼り付け!T69,製品仕様マスタ!B:B,0)),INDEX(製品仕様マスタ!AZ$1:BZ$500,MATCH(W2Pデータ貼り付け!T69,製品仕様マスタ!B:B,0),MATCH(W2Pデータ貼り付け!V69,製品仕様マスタ!AZ$1:BZ$1,0)))),"")</f>
        <v/>
      </c>
      <c r="AL69" s="232" t="str">
        <f t="shared" si="1"/>
        <v/>
      </c>
      <c r="AM69" s="232" t="str">
        <f>IF(AF69&lt;&gt;"",IF(ISNUMBER(T69),COUNT(AM$2:AM68)+1,""),"")</f>
        <v/>
      </c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  <c r="CK69" s="231"/>
      <c r="CL69" s="231"/>
      <c r="CM69" s="231"/>
      <c r="CN69" s="231"/>
      <c r="CO69" s="231"/>
      <c r="CP69" s="231"/>
      <c r="CQ69" s="231"/>
      <c r="CR69" s="231"/>
      <c r="CS69" s="231"/>
      <c r="CT69" s="231"/>
      <c r="CU69" s="231"/>
      <c r="CV69" s="231"/>
    </row>
    <row r="70" spans="17:100" ht="14.1" customHeight="1" x14ac:dyDescent="0.15">
      <c r="Q70"/>
      <c r="T70"/>
      <c r="AF70"/>
      <c r="AG70"/>
      <c r="AH70"/>
      <c r="AI70" s="232" t="str">
        <f>_xlfn.IFNA(IF(INDEX(製品仕様マスタ!C:C,MATCH(W2Pデータ貼り付け!T70,製品仕様マスタ!B:B,0))=0,"",INDEX(製品仕様マスタ!C:C,MATCH(W2Pデータ貼り付け!T70,製品仕様マスタ!B:B,0))),"")</f>
        <v/>
      </c>
      <c r="AJ70" s="232" t="str">
        <f>_xlfn.IFNA(IF(INDEX(製品仕様マスタ!AK:AK,MATCH(W2Pデータ貼り付け!T70,製品仕様マスタ!B:B,0))=0,"",INDEX(製品仕様マスタ!AK:AK,MATCH(W2Pデータ貼り付け!T70,製品仕様マスタ!B:B,0))),"")</f>
        <v/>
      </c>
      <c r="AK70" s="233" t="str">
        <f>_xlfn.IFNA(IF(INDEX(製品仕様マスタ!AY:AY,MATCH(W2Pデータ貼り付け!T70,製品仕様マスタ!B:B,0))=0,"",IF(INDEX(製品仕様マスタ!AY:AY,MATCH(W2Pデータ貼り付け!T70,製品仕様マスタ!B:B,0)) &lt;&gt; "-",INDEX(製品仕様マスタ!AY:AY,MATCH(W2Pデータ貼り付け!T70,製品仕様マスタ!B:B,0)),INDEX(製品仕様マスタ!AZ$1:BZ$500,MATCH(W2Pデータ貼り付け!T70,製品仕様マスタ!B:B,0),MATCH(W2Pデータ貼り付け!V70,製品仕様マスタ!AZ$1:BZ$1,0)))),"")</f>
        <v/>
      </c>
      <c r="AL70" s="232" t="str">
        <f t="shared" si="1"/>
        <v/>
      </c>
      <c r="AM70" s="232" t="str">
        <f>IF(AF70&lt;&gt;"",IF(ISNUMBER(T70),COUNT(AM$2:AM69)+1,""),"")</f>
        <v/>
      </c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  <c r="CK70" s="231"/>
      <c r="CL70" s="231"/>
      <c r="CM70" s="231"/>
      <c r="CN70" s="231"/>
      <c r="CO70" s="231"/>
      <c r="CP70" s="231"/>
      <c r="CQ70" s="231"/>
      <c r="CR70" s="231"/>
      <c r="CS70" s="231"/>
      <c r="CT70" s="231"/>
      <c r="CU70" s="231"/>
      <c r="CV70" s="231"/>
    </row>
    <row r="71" spans="17:100" ht="14.1" customHeight="1" x14ac:dyDescent="0.15">
      <c r="Q71"/>
      <c r="T71"/>
      <c r="AF71"/>
      <c r="AG71"/>
      <c r="AH71"/>
      <c r="AI71" s="232" t="str">
        <f>_xlfn.IFNA(IF(INDEX(製品仕様マスタ!C:C,MATCH(W2Pデータ貼り付け!T71,製品仕様マスタ!B:B,0))=0,"",INDEX(製品仕様マスタ!C:C,MATCH(W2Pデータ貼り付け!T71,製品仕様マスタ!B:B,0))),"")</f>
        <v/>
      </c>
      <c r="AJ71" s="232" t="str">
        <f>_xlfn.IFNA(IF(INDEX(製品仕様マスタ!AK:AK,MATCH(W2Pデータ貼り付け!T71,製品仕様マスタ!B:B,0))=0,"",INDEX(製品仕様マスタ!AK:AK,MATCH(W2Pデータ貼り付け!T71,製品仕様マスタ!B:B,0))),"")</f>
        <v/>
      </c>
      <c r="AK71" s="233" t="str">
        <f>_xlfn.IFNA(IF(INDEX(製品仕様マスタ!AY:AY,MATCH(W2Pデータ貼り付け!T71,製品仕様マスタ!B:B,0))=0,"",IF(INDEX(製品仕様マスタ!AY:AY,MATCH(W2Pデータ貼り付け!T71,製品仕様マスタ!B:B,0)) &lt;&gt; "-",INDEX(製品仕様マスタ!AY:AY,MATCH(W2Pデータ貼り付け!T71,製品仕様マスタ!B:B,0)),INDEX(製品仕様マスタ!AZ$1:BZ$500,MATCH(W2Pデータ貼り付け!T71,製品仕様マスタ!B:B,0),MATCH(W2Pデータ貼り付け!V71,製品仕様マスタ!AZ$1:BZ$1,0)))),"")</f>
        <v/>
      </c>
      <c r="AL71" s="232" t="str">
        <f t="shared" si="1"/>
        <v/>
      </c>
      <c r="AM71" s="232" t="str">
        <f>IF(AF71&lt;&gt;"",IF(ISNUMBER(T71),COUNT(AM$2:AM70)+1,""),"")</f>
        <v/>
      </c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  <c r="CK71" s="231"/>
      <c r="CL71" s="231"/>
      <c r="CM71" s="231"/>
      <c r="CN71" s="231"/>
      <c r="CO71" s="231"/>
      <c r="CP71" s="231"/>
      <c r="CQ71" s="231"/>
      <c r="CR71" s="231"/>
      <c r="CS71" s="231"/>
      <c r="CT71" s="231"/>
      <c r="CU71" s="231"/>
      <c r="CV71" s="231"/>
    </row>
    <row r="72" spans="17:100" ht="14.1" customHeight="1" x14ac:dyDescent="0.15">
      <c r="Q72"/>
      <c r="T72"/>
      <c r="AF72"/>
      <c r="AG72"/>
      <c r="AH72"/>
      <c r="AI72" s="232" t="str">
        <f>_xlfn.IFNA(IF(INDEX(製品仕様マスタ!C:C,MATCH(W2Pデータ貼り付け!T72,製品仕様マスタ!B:B,0))=0,"",INDEX(製品仕様マスタ!C:C,MATCH(W2Pデータ貼り付け!T72,製品仕様マスタ!B:B,0))),"")</f>
        <v/>
      </c>
      <c r="AJ72" s="232" t="str">
        <f>_xlfn.IFNA(IF(INDEX(製品仕様マスタ!AK:AK,MATCH(W2Pデータ貼り付け!T72,製品仕様マスタ!B:B,0))=0,"",INDEX(製品仕様マスタ!AK:AK,MATCH(W2Pデータ貼り付け!T72,製品仕様マスタ!B:B,0))),"")</f>
        <v/>
      </c>
      <c r="AK72" s="233" t="str">
        <f>_xlfn.IFNA(IF(INDEX(製品仕様マスタ!AY:AY,MATCH(W2Pデータ貼り付け!T72,製品仕様マスタ!B:B,0))=0,"",IF(INDEX(製品仕様マスタ!AY:AY,MATCH(W2Pデータ貼り付け!T72,製品仕様マスタ!B:B,0)) &lt;&gt; "-",INDEX(製品仕様マスタ!AY:AY,MATCH(W2Pデータ貼り付け!T72,製品仕様マスタ!B:B,0)),INDEX(製品仕様マスタ!AZ$1:BZ$500,MATCH(W2Pデータ貼り付け!T72,製品仕様マスタ!B:B,0),MATCH(W2Pデータ貼り付け!V72,製品仕様マスタ!AZ$1:BZ$1,0)))),"")</f>
        <v/>
      </c>
      <c r="AL72" s="232" t="str">
        <f t="shared" si="1"/>
        <v/>
      </c>
      <c r="AM72" s="232" t="str">
        <f>IF(AF72&lt;&gt;"",IF(ISNUMBER(T72),COUNT(AM$2:AM71)+1,""),"")</f>
        <v/>
      </c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  <c r="CK72" s="231"/>
      <c r="CL72" s="231"/>
      <c r="CM72" s="231"/>
      <c r="CN72" s="231"/>
      <c r="CO72" s="231"/>
      <c r="CP72" s="231"/>
      <c r="CQ72" s="231"/>
      <c r="CR72" s="231"/>
      <c r="CS72" s="231"/>
      <c r="CT72" s="231"/>
      <c r="CU72" s="231"/>
      <c r="CV72" s="231"/>
    </row>
    <row r="73" spans="17:100" ht="14.1" customHeight="1" x14ac:dyDescent="0.15">
      <c r="Q73"/>
      <c r="T73"/>
      <c r="AF73"/>
      <c r="AG73"/>
      <c r="AH73"/>
      <c r="AI73" s="232" t="str">
        <f>_xlfn.IFNA(IF(INDEX(製品仕様マスタ!C:C,MATCH(W2Pデータ貼り付け!T73,製品仕様マスタ!B:B,0))=0,"",INDEX(製品仕様マスタ!C:C,MATCH(W2Pデータ貼り付け!T73,製品仕様マスタ!B:B,0))),"")</f>
        <v/>
      </c>
      <c r="AJ73" s="232" t="str">
        <f>_xlfn.IFNA(IF(INDEX(製品仕様マスタ!AK:AK,MATCH(W2Pデータ貼り付け!T73,製品仕様マスタ!B:B,0))=0,"",INDEX(製品仕様マスタ!AK:AK,MATCH(W2Pデータ貼り付け!T73,製品仕様マスタ!B:B,0))),"")</f>
        <v/>
      </c>
      <c r="AK73" s="233" t="str">
        <f>_xlfn.IFNA(IF(INDEX(製品仕様マスタ!AY:AY,MATCH(W2Pデータ貼り付け!T73,製品仕様マスタ!B:B,0))=0,"",IF(INDEX(製品仕様マスタ!AY:AY,MATCH(W2Pデータ貼り付け!T73,製品仕様マスタ!B:B,0)) &lt;&gt; "-",INDEX(製品仕様マスタ!AY:AY,MATCH(W2Pデータ貼り付け!T73,製品仕様マスタ!B:B,0)),INDEX(製品仕様マスタ!AZ$1:BZ$500,MATCH(W2Pデータ貼り付け!T73,製品仕様マスタ!B:B,0),MATCH(W2Pデータ貼り付け!V73,製品仕様マスタ!AZ$1:BZ$1,0)))),"")</f>
        <v/>
      </c>
      <c r="AL73" s="232" t="str">
        <f t="shared" si="1"/>
        <v/>
      </c>
      <c r="AM73" s="232" t="str">
        <f>IF(AF73&lt;&gt;"",IF(ISNUMBER(T73),COUNT(AM$2:AM72)+1,""),"")</f>
        <v/>
      </c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  <c r="CK73" s="231"/>
      <c r="CL73" s="231"/>
      <c r="CM73" s="231"/>
      <c r="CN73" s="231"/>
      <c r="CO73" s="231"/>
      <c r="CP73" s="231"/>
      <c r="CQ73" s="231"/>
      <c r="CR73" s="231"/>
      <c r="CS73" s="231"/>
      <c r="CT73" s="231"/>
      <c r="CU73" s="231"/>
      <c r="CV73" s="231"/>
    </row>
    <row r="74" spans="17:100" ht="14.1" customHeight="1" x14ac:dyDescent="0.15">
      <c r="Q74"/>
      <c r="T74"/>
      <c r="AF74"/>
      <c r="AG74"/>
      <c r="AH74"/>
      <c r="AI74" s="232" t="str">
        <f>_xlfn.IFNA(IF(INDEX(製品仕様マスタ!C:C,MATCH(W2Pデータ貼り付け!T74,製品仕様マスタ!B:B,0))=0,"",INDEX(製品仕様マスタ!C:C,MATCH(W2Pデータ貼り付け!T74,製品仕様マスタ!B:B,0))),"")</f>
        <v/>
      </c>
      <c r="AJ74" s="232" t="str">
        <f>_xlfn.IFNA(IF(INDEX(製品仕様マスタ!AK:AK,MATCH(W2Pデータ貼り付け!T74,製品仕様マスタ!B:B,0))=0,"",INDEX(製品仕様マスタ!AK:AK,MATCH(W2Pデータ貼り付け!T74,製品仕様マスタ!B:B,0))),"")</f>
        <v/>
      </c>
      <c r="AK74" s="233" t="str">
        <f>_xlfn.IFNA(IF(INDEX(製品仕様マスタ!AY:AY,MATCH(W2Pデータ貼り付け!T74,製品仕様マスタ!B:B,0))=0,"",IF(INDEX(製品仕様マスタ!AY:AY,MATCH(W2Pデータ貼り付け!T74,製品仕様マスタ!B:B,0)) &lt;&gt; "-",INDEX(製品仕様マスタ!AY:AY,MATCH(W2Pデータ貼り付け!T74,製品仕様マスタ!B:B,0)),INDEX(製品仕様マスタ!AZ$1:BZ$500,MATCH(W2Pデータ貼り付け!T74,製品仕様マスタ!B:B,0),MATCH(W2Pデータ貼り付け!V74,製品仕様マスタ!AZ$1:BZ$1,0)))),"")</f>
        <v/>
      </c>
      <c r="AL74" s="232" t="str">
        <f t="shared" si="1"/>
        <v/>
      </c>
      <c r="AM74" s="232" t="str">
        <f>IF(AF74&lt;&gt;"",IF(ISNUMBER(T74),COUNT(AM$2:AM73)+1,""),"")</f>
        <v/>
      </c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  <c r="CK74" s="231"/>
      <c r="CL74" s="231"/>
      <c r="CM74" s="231"/>
      <c r="CN74" s="231"/>
      <c r="CO74" s="231"/>
      <c r="CP74" s="231"/>
      <c r="CQ74" s="231"/>
      <c r="CR74" s="231"/>
      <c r="CS74" s="231"/>
      <c r="CT74" s="231"/>
      <c r="CU74" s="231"/>
      <c r="CV74" s="231"/>
    </row>
    <row r="75" spans="17:100" ht="14.1" customHeight="1" x14ac:dyDescent="0.15">
      <c r="Q75"/>
      <c r="T75"/>
      <c r="AF75"/>
      <c r="AG75"/>
      <c r="AH75"/>
      <c r="AI75" s="232" t="str">
        <f>_xlfn.IFNA(IF(INDEX(製品仕様マスタ!C:C,MATCH(W2Pデータ貼り付け!T75,製品仕様マスタ!B:B,0))=0,"",INDEX(製品仕様マスタ!C:C,MATCH(W2Pデータ貼り付け!T75,製品仕様マスタ!B:B,0))),"")</f>
        <v/>
      </c>
      <c r="AJ75" s="232" t="str">
        <f>_xlfn.IFNA(IF(INDEX(製品仕様マスタ!AK:AK,MATCH(W2Pデータ貼り付け!T75,製品仕様マスタ!B:B,0))=0,"",INDEX(製品仕様マスタ!AK:AK,MATCH(W2Pデータ貼り付け!T75,製品仕様マスタ!B:B,0))),"")</f>
        <v/>
      </c>
      <c r="AK75" s="233" t="str">
        <f>_xlfn.IFNA(IF(INDEX(製品仕様マスタ!AY:AY,MATCH(W2Pデータ貼り付け!T75,製品仕様マスタ!B:B,0))=0,"",IF(INDEX(製品仕様マスタ!AY:AY,MATCH(W2Pデータ貼り付け!T75,製品仕様マスタ!B:B,0)) &lt;&gt; "-",INDEX(製品仕様マスタ!AY:AY,MATCH(W2Pデータ貼り付け!T75,製品仕様マスタ!B:B,0)),INDEX(製品仕様マスタ!AZ$1:BZ$500,MATCH(W2Pデータ貼り付け!T75,製品仕様マスタ!B:B,0),MATCH(W2Pデータ貼り付け!V75,製品仕様マスタ!AZ$1:BZ$1,0)))),"")</f>
        <v/>
      </c>
      <c r="AL75" s="232" t="str">
        <f t="shared" si="1"/>
        <v/>
      </c>
      <c r="AM75" s="232" t="str">
        <f>IF(AF75&lt;&gt;"",IF(ISNUMBER(T75),COUNT(AM$2:AM74)+1,""),"")</f>
        <v/>
      </c>
      <c r="AN75" s="231"/>
      <c r="AO75" s="231"/>
      <c r="AP75" s="231"/>
      <c r="AQ75" s="231"/>
      <c r="AR75" s="231"/>
      <c r="AS75" s="231"/>
      <c r="AT75" s="231"/>
      <c r="AU75" s="231"/>
      <c r="AV75" s="231"/>
      <c r="AW75" s="231"/>
      <c r="AX75" s="231"/>
      <c r="AY75" s="231"/>
      <c r="AZ75" s="231"/>
      <c r="BA75" s="231"/>
      <c r="BB75" s="231"/>
      <c r="BC75" s="231"/>
      <c r="BD75" s="231"/>
      <c r="BE75" s="231"/>
      <c r="BF75" s="231"/>
      <c r="BG75" s="231"/>
      <c r="BH75" s="231"/>
      <c r="BI75" s="231"/>
      <c r="BJ75" s="231"/>
      <c r="BK75" s="231"/>
      <c r="BL75" s="231"/>
      <c r="BM75" s="231"/>
      <c r="BN75" s="231"/>
      <c r="BO75" s="231"/>
      <c r="BP75" s="231"/>
      <c r="BQ75" s="231"/>
      <c r="BR75" s="231"/>
      <c r="BS75" s="231"/>
      <c r="BT75" s="231"/>
      <c r="BU75" s="231"/>
      <c r="BV75" s="231"/>
      <c r="BW75" s="231"/>
      <c r="BX75" s="231"/>
      <c r="BY75" s="231"/>
      <c r="BZ75" s="231"/>
      <c r="CA75" s="231"/>
      <c r="CB75" s="231"/>
      <c r="CC75" s="231"/>
      <c r="CD75" s="231"/>
      <c r="CE75" s="231"/>
      <c r="CF75" s="231"/>
      <c r="CG75" s="231"/>
      <c r="CH75" s="231"/>
      <c r="CI75" s="231"/>
      <c r="CJ75" s="231"/>
      <c r="CK75" s="231"/>
      <c r="CL75" s="231"/>
      <c r="CM75" s="231"/>
      <c r="CN75" s="231"/>
      <c r="CO75" s="231"/>
      <c r="CP75" s="231"/>
      <c r="CQ75" s="231"/>
      <c r="CR75" s="231"/>
      <c r="CS75" s="231"/>
      <c r="CT75" s="231"/>
      <c r="CU75" s="231"/>
      <c r="CV75" s="231"/>
    </row>
    <row r="76" spans="17:100" ht="14.1" customHeight="1" x14ac:dyDescent="0.15">
      <c r="Q76"/>
      <c r="T76"/>
      <c r="AF76"/>
      <c r="AG76"/>
      <c r="AH76"/>
      <c r="AI76" s="232" t="str">
        <f>_xlfn.IFNA(IF(INDEX(製品仕様マスタ!C:C,MATCH(W2Pデータ貼り付け!T76,製品仕様マスタ!B:B,0))=0,"",INDEX(製品仕様マスタ!C:C,MATCH(W2Pデータ貼り付け!T76,製品仕様マスタ!B:B,0))),"")</f>
        <v/>
      </c>
      <c r="AJ76" s="232" t="str">
        <f>_xlfn.IFNA(IF(INDEX(製品仕様マスタ!AK:AK,MATCH(W2Pデータ貼り付け!T76,製品仕様マスタ!B:B,0))=0,"",INDEX(製品仕様マスタ!AK:AK,MATCH(W2Pデータ貼り付け!T76,製品仕様マスタ!B:B,0))),"")</f>
        <v/>
      </c>
      <c r="AK76" s="233" t="str">
        <f>_xlfn.IFNA(IF(INDEX(製品仕様マスタ!AY:AY,MATCH(W2Pデータ貼り付け!T76,製品仕様マスタ!B:B,0))=0,"",IF(INDEX(製品仕様マスタ!AY:AY,MATCH(W2Pデータ貼り付け!T76,製品仕様マスタ!B:B,0)) &lt;&gt; "-",INDEX(製品仕様マスタ!AY:AY,MATCH(W2Pデータ貼り付け!T76,製品仕様マスタ!B:B,0)),INDEX(製品仕様マスタ!AZ$1:BZ$500,MATCH(W2Pデータ貼り付け!T76,製品仕様マスタ!B:B,0),MATCH(W2Pデータ貼り付け!V76,製品仕様マスタ!AZ$1:BZ$1,0)))),"")</f>
        <v/>
      </c>
      <c r="AL76" s="232" t="str">
        <f t="shared" si="1"/>
        <v/>
      </c>
      <c r="AM76" s="232" t="str">
        <f>IF(AF76&lt;&gt;"",IF(ISNUMBER(T76),COUNT(AM$2:AM75)+1,""),"")</f>
        <v/>
      </c>
      <c r="AN76" s="231"/>
      <c r="AO76" s="231"/>
      <c r="AP76" s="231"/>
      <c r="AQ76" s="231"/>
      <c r="AR76" s="231"/>
      <c r="AS76" s="231"/>
      <c r="AT76" s="231"/>
      <c r="AU76" s="231"/>
      <c r="AV76" s="231"/>
      <c r="AW76" s="231"/>
      <c r="AX76" s="231"/>
      <c r="AY76" s="231"/>
      <c r="AZ76" s="231"/>
      <c r="BA76" s="231"/>
      <c r="BB76" s="231"/>
      <c r="BC76" s="231"/>
      <c r="BD76" s="231"/>
      <c r="BE76" s="231"/>
      <c r="BF76" s="231"/>
      <c r="BG76" s="231"/>
      <c r="BH76" s="231"/>
      <c r="BI76" s="231"/>
      <c r="BJ76" s="231"/>
      <c r="BK76" s="231"/>
      <c r="BL76" s="231"/>
      <c r="BM76" s="231"/>
      <c r="BN76" s="231"/>
      <c r="BO76" s="231"/>
      <c r="BP76" s="231"/>
      <c r="BQ76" s="231"/>
      <c r="BR76" s="231"/>
      <c r="BS76" s="231"/>
      <c r="BT76" s="231"/>
      <c r="BU76" s="231"/>
      <c r="BV76" s="231"/>
      <c r="BW76" s="231"/>
      <c r="BX76" s="231"/>
      <c r="BY76" s="231"/>
      <c r="BZ76" s="231"/>
      <c r="CA76" s="231"/>
      <c r="CB76" s="231"/>
      <c r="CC76" s="231"/>
      <c r="CD76" s="231"/>
      <c r="CE76" s="231"/>
      <c r="CF76" s="231"/>
      <c r="CG76" s="231"/>
      <c r="CH76" s="231"/>
      <c r="CI76" s="231"/>
      <c r="CJ76" s="231"/>
      <c r="CK76" s="231"/>
      <c r="CL76" s="231"/>
      <c r="CM76" s="231"/>
      <c r="CN76" s="231"/>
      <c r="CO76" s="231"/>
      <c r="CP76" s="231"/>
      <c r="CQ76" s="231"/>
      <c r="CR76" s="231"/>
      <c r="CS76" s="231"/>
      <c r="CT76" s="231"/>
      <c r="CU76" s="231"/>
      <c r="CV76" s="231"/>
    </row>
    <row r="77" spans="17:100" ht="14.1" customHeight="1" x14ac:dyDescent="0.15">
      <c r="Q77"/>
      <c r="T77"/>
      <c r="AF77"/>
      <c r="AG77"/>
      <c r="AH77"/>
      <c r="AI77" s="232" t="str">
        <f>_xlfn.IFNA(IF(INDEX(製品仕様マスタ!C:C,MATCH(W2Pデータ貼り付け!T77,製品仕様マスタ!B:B,0))=0,"",INDEX(製品仕様マスタ!C:C,MATCH(W2Pデータ貼り付け!T77,製品仕様マスタ!B:B,0))),"")</f>
        <v/>
      </c>
      <c r="AJ77" s="232" t="str">
        <f>_xlfn.IFNA(IF(INDEX(製品仕様マスタ!AK:AK,MATCH(W2Pデータ貼り付け!T77,製品仕様マスタ!B:B,0))=0,"",INDEX(製品仕様マスタ!AK:AK,MATCH(W2Pデータ貼り付け!T77,製品仕様マスタ!B:B,0))),"")</f>
        <v/>
      </c>
      <c r="AK77" s="233" t="str">
        <f>_xlfn.IFNA(IF(INDEX(製品仕様マスタ!AY:AY,MATCH(W2Pデータ貼り付け!T77,製品仕様マスタ!B:B,0))=0,"",IF(INDEX(製品仕様マスタ!AY:AY,MATCH(W2Pデータ貼り付け!T77,製品仕様マスタ!B:B,0)) &lt;&gt; "-",INDEX(製品仕様マスタ!AY:AY,MATCH(W2Pデータ貼り付け!T77,製品仕様マスタ!B:B,0)),INDEX(製品仕様マスタ!AZ$1:BZ$500,MATCH(W2Pデータ貼り付け!T77,製品仕様マスタ!B:B,0),MATCH(W2Pデータ貼り付け!V77,製品仕様マスタ!AZ$1:BZ$1,0)))),"")</f>
        <v/>
      </c>
      <c r="AL77" s="232" t="str">
        <f t="shared" si="1"/>
        <v/>
      </c>
      <c r="AM77" s="232" t="str">
        <f>IF(AF77&lt;&gt;"",IF(ISNUMBER(T77),COUNT(AM$2:AM76)+1,""),"")</f>
        <v/>
      </c>
      <c r="AN77" s="231"/>
      <c r="AO77" s="231"/>
      <c r="AP77" s="231"/>
      <c r="AQ77" s="231"/>
      <c r="AR77" s="231"/>
      <c r="AS77" s="231"/>
      <c r="AT77" s="231"/>
      <c r="AU77" s="231"/>
      <c r="AV77" s="231"/>
      <c r="AW77" s="231"/>
      <c r="AX77" s="231"/>
      <c r="AY77" s="231"/>
      <c r="AZ77" s="231"/>
      <c r="BA77" s="231"/>
      <c r="BB77" s="231"/>
      <c r="BC77" s="231"/>
      <c r="BD77" s="231"/>
      <c r="BE77" s="231"/>
      <c r="BF77" s="231"/>
      <c r="BG77" s="231"/>
      <c r="BH77" s="231"/>
      <c r="BI77" s="231"/>
      <c r="BJ77" s="231"/>
      <c r="BK77" s="231"/>
      <c r="BL77" s="231"/>
      <c r="BM77" s="231"/>
      <c r="BN77" s="231"/>
      <c r="BO77" s="231"/>
      <c r="BP77" s="231"/>
      <c r="BQ77" s="231"/>
      <c r="BR77" s="231"/>
      <c r="BS77" s="231"/>
      <c r="BT77" s="231"/>
      <c r="BU77" s="231"/>
      <c r="BV77" s="231"/>
      <c r="BW77" s="231"/>
      <c r="BX77" s="231"/>
      <c r="BY77" s="231"/>
      <c r="BZ77" s="231"/>
      <c r="CA77" s="231"/>
      <c r="CB77" s="231"/>
      <c r="CC77" s="231"/>
      <c r="CD77" s="231"/>
      <c r="CE77" s="231"/>
      <c r="CF77" s="231"/>
      <c r="CG77" s="231"/>
      <c r="CH77" s="231"/>
      <c r="CI77" s="231"/>
      <c r="CJ77" s="231"/>
      <c r="CK77" s="231"/>
      <c r="CL77" s="231"/>
      <c r="CM77" s="231"/>
      <c r="CN77" s="231"/>
      <c r="CO77" s="231"/>
      <c r="CP77" s="231"/>
      <c r="CQ77" s="231"/>
      <c r="CR77" s="231"/>
      <c r="CS77" s="231"/>
      <c r="CT77" s="231"/>
      <c r="CU77" s="231"/>
      <c r="CV77" s="231"/>
    </row>
    <row r="78" spans="17:100" ht="14.1" customHeight="1" x14ac:dyDescent="0.15">
      <c r="Q78"/>
      <c r="T78"/>
      <c r="AF78"/>
      <c r="AG78"/>
      <c r="AH78"/>
      <c r="AI78" s="232" t="str">
        <f>_xlfn.IFNA(IF(INDEX(製品仕様マスタ!C:C,MATCH(W2Pデータ貼り付け!T78,製品仕様マスタ!B:B,0))=0,"",INDEX(製品仕様マスタ!C:C,MATCH(W2Pデータ貼り付け!T78,製品仕様マスタ!B:B,0))),"")</f>
        <v/>
      </c>
      <c r="AJ78" s="232" t="str">
        <f>_xlfn.IFNA(IF(INDEX(製品仕様マスタ!AK:AK,MATCH(W2Pデータ貼り付け!T78,製品仕様マスタ!B:B,0))=0,"",INDEX(製品仕様マスタ!AK:AK,MATCH(W2Pデータ貼り付け!T78,製品仕様マスタ!B:B,0))),"")</f>
        <v/>
      </c>
      <c r="AK78" s="233" t="str">
        <f>_xlfn.IFNA(IF(INDEX(製品仕様マスタ!AY:AY,MATCH(W2Pデータ貼り付け!T78,製品仕様マスタ!B:B,0))=0,"",IF(INDEX(製品仕様マスタ!AY:AY,MATCH(W2Pデータ貼り付け!T78,製品仕様マスタ!B:B,0)) &lt;&gt; "-",INDEX(製品仕様マスタ!AY:AY,MATCH(W2Pデータ貼り付け!T78,製品仕様マスタ!B:B,0)),INDEX(製品仕様マスタ!AZ$1:BZ$500,MATCH(W2Pデータ貼り付け!T78,製品仕様マスタ!B:B,0),MATCH(W2Pデータ貼り付け!V78,製品仕様マスタ!AZ$1:BZ$1,0)))),"")</f>
        <v/>
      </c>
      <c r="AL78" s="232" t="str">
        <f t="shared" si="1"/>
        <v/>
      </c>
      <c r="AM78" s="232" t="str">
        <f>IF(AF78&lt;&gt;"",IF(ISNUMBER(T78),COUNT(AM$2:AM77)+1,""),"")</f>
        <v/>
      </c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  <c r="CK78" s="231"/>
      <c r="CL78" s="231"/>
      <c r="CM78" s="231"/>
      <c r="CN78" s="231"/>
      <c r="CO78" s="231"/>
      <c r="CP78" s="231"/>
      <c r="CQ78" s="231"/>
      <c r="CR78" s="231"/>
      <c r="CS78" s="231"/>
      <c r="CT78" s="231"/>
      <c r="CU78" s="231"/>
      <c r="CV78" s="231"/>
    </row>
    <row r="79" spans="17:100" ht="14.1" customHeight="1" x14ac:dyDescent="0.15">
      <c r="Q79"/>
      <c r="T79"/>
      <c r="AF79"/>
      <c r="AG79"/>
      <c r="AH79"/>
      <c r="AI79" s="232" t="str">
        <f>_xlfn.IFNA(IF(INDEX(製品仕様マスタ!C:C,MATCH(W2Pデータ貼り付け!T79,製品仕様マスタ!B:B,0))=0,"",INDEX(製品仕様マスタ!C:C,MATCH(W2Pデータ貼り付け!T79,製品仕様マスタ!B:B,0))),"")</f>
        <v/>
      </c>
      <c r="AJ79" s="232" t="str">
        <f>_xlfn.IFNA(IF(INDEX(製品仕様マスタ!AK:AK,MATCH(W2Pデータ貼り付け!T79,製品仕様マスタ!B:B,0))=0,"",INDEX(製品仕様マスタ!AK:AK,MATCH(W2Pデータ貼り付け!T79,製品仕様マスタ!B:B,0))),"")</f>
        <v/>
      </c>
      <c r="AK79" s="233" t="str">
        <f>_xlfn.IFNA(IF(INDEX(製品仕様マスタ!AY:AY,MATCH(W2Pデータ貼り付け!T79,製品仕様マスタ!B:B,0))=0,"",IF(INDEX(製品仕様マスタ!AY:AY,MATCH(W2Pデータ貼り付け!T79,製品仕様マスタ!B:B,0)) &lt;&gt; "-",INDEX(製品仕様マスタ!AY:AY,MATCH(W2Pデータ貼り付け!T79,製品仕様マスタ!B:B,0)),INDEX(製品仕様マスタ!AZ$1:BZ$500,MATCH(W2Pデータ貼り付け!T79,製品仕様マスタ!B:B,0),MATCH(W2Pデータ貼り付け!V79,製品仕様マスタ!AZ$1:BZ$1,0)))),"")</f>
        <v/>
      </c>
      <c r="AL79" s="232" t="str">
        <f t="shared" si="1"/>
        <v/>
      </c>
      <c r="AM79" s="232" t="str">
        <f>IF(AF79&lt;&gt;"",IF(ISNUMBER(T79),COUNT(AM$2:AM78)+1,""),"")</f>
        <v/>
      </c>
      <c r="AN79" s="231"/>
      <c r="AO79" s="231"/>
      <c r="AP79" s="231"/>
      <c r="AQ79" s="231"/>
      <c r="AR79" s="231"/>
      <c r="AS79" s="231"/>
      <c r="AT79" s="231"/>
      <c r="AU79" s="231"/>
      <c r="AV79" s="231"/>
      <c r="AW79" s="231"/>
      <c r="AX79" s="231"/>
      <c r="AY79" s="231"/>
      <c r="AZ79" s="231"/>
      <c r="BA79" s="231"/>
      <c r="BB79" s="231"/>
      <c r="BC79" s="231"/>
      <c r="BD79" s="231"/>
      <c r="BE79" s="231"/>
      <c r="BF79" s="231"/>
      <c r="BG79" s="231"/>
      <c r="BH79" s="231"/>
      <c r="BI79" s="231"/>
      <c r="BJ79" s="231"/>
      <c r="BK79" s="231"/>
      <c r="BL79" s="231"/>
      <c r="BM79" s="231"/>
      <c r="BN79" s="231"/>
      <c r="BO79" s="231"/>
      <c r="BP79" s="231"/>
      <c r="BQ79" s="231"/>
      <c r="BR79" s="231"/>
      <c r="BS79" s="231"/>
      <c r="BT79" s="231"/>
      <c r="BU79" s="231"/>
      <c r="BV79" s="231"/>
      <c r="BW79" s="231"/>
      <c r="BX79" s="231"/>
      <c r="BY79" s="231"/>
      <c r="BZ79" s="231"/>
      <c r="CA79" s="231"/>
      <c r="CB79" s="231"/>
      <c r="CC79" s="231"/>
      <c r="CD79" s="231"/>
      <c r="CE79" s="231"/>
      <c r="CF79" s="231"/>
      <c r="CG79" s="231"/>
      <c r="CH79" s="231"/>
      <c r="CI79" s="231"/>
      <c r="CJ79" s="231"/>
      <c r="CK79" s="231"/>
      <c r="CL79" s="231"/>
      <c r="CM79" s="231"/>
      <c r="CN79" s="231"/>
      <c r="CO79" s="231"/>
      <c r="CP79" s="231"/>
      <c r="CQ79" s="231"/>
      <c r="CR79" s="231"/>
      <c r="CS79" s="231"/>
      <c r="CT79" s="231"/>
      <c r="CU79" s="231"/>
      <c r="CV79" s="231"/>
    </row>
    <row r="80" spans="17:100" ht="14.1" customHeight="1" x14ac:dyDescent="0.15">
      <c r="Q80"/>
      <c r="T80"/>
      <c r="AF80"/>
      <c r="AG80"/>
      <c r="AH80"/>
      <c r="AI80" s="232" t="str">
        <f>_xlfn.IFNA(IF(INDEX(製品仕様マスタ!C:C,MATCH(W2Pデータ貼り付け!T80,製品仕様マスタ!B:B,0))=0,"",INDEX(製品仕様マスタ!C:C,MATCH(W2Pデータ貼り付け!T80,製品仕様マスタ!B:B,0))),"")</f>
        <v/>
      </c>
      <c r="AJ80" s="232" t="str">
        <f>_xlfn.IFNA(IF(INDEX(製品仕様マスタ!AK:AK,MATCH(W2Pデータ貼り付け!T80,製品仕様マスタ!B:B,0))=0,"",INDEX(製品仕様マスタ!AK:AK,MATCH(W2Pデータ貼り付け!T80,製品仕様マスタ!B:B,0))),"")</f>
        <v/>
      </c>
      <c r="AK80" s="233" t="str">
        <f>_xlfn.IFNA(IF(INDEX(製品仕様マスタ!AY:AY,MATCH(W2Pデータ貼り付け!T80,製品仕様マスタ!B:B,0))=0,"",IF(INDEX(製品仕様マスタ!AY:AY,MATCH(W2Pデータ貼り付け!T80,製品仕様マスタ!B:B,0)) &lt;&gt; "-",INDEX(製品仕様マスタ!AY:AY,MATCH(W2Pデータ貼り付け!T80,製品仕様マスタ!B:B,0)),INDEX(製品仕様マスタ!AZ$1:BZ$500,MATCH(W2Pデータ貼り付け!T80,製品仕様マスタ!B:B,0),MATCH(W2Pデータ貼り付け!V80,製品仕様マスタ!AZ$1:BZ$1,0)))),"")</f>
        <v/>
      </c>
      <c r="AL80" s="232" t="str">
        <f t="shared" si="1"/>
        <v/>
      </c>
      <c r="AM80" s="232" t="str">
        <f>IF(AF80&lt;&gt;"",IF(ISNUMBER(T80),COUNT(AM$2:AM79)+1,""),"")</f>
        <v/>
      </c>
      <c r="AN80" s="231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  <c r="BD80" s="231"/>
      <c r="BE80" s="231"/>
      <c r="BF80" s="231"/>
      <c r="BG80" s="231"/>
      <c r="BH80" s="231"/>
      <c r="BI80" s="231"/>
      <c r="BJ80" s="231"/>
      <c r="BK80" s="231"/>
      <c r="BL80" s="231"/>
      <c r="BM80" s="231"/>
      <c r="BN80" s="231"/>
      <c r="BO80" s="231"/>
      <c r="BP80" s="231"/>
      <c r="BQ80" s="231"/>
      <c r="BR80" s="231"/>
      <c r="BS80" s="231"/>
      <c r="BT80" s="231"/>
      <c r="BU80" s="231"/>
      <c r="BV80" s="231"/>
      <c r="BW80" s="231"/>
      <c r="BX80" s="231"/>
      <c r="BY80" s="231"/>
      <c r="BZ80" s="231"/>
      <c r="CA80" s="231"/>
      <c r="CB80" s="231"/>
      <c r="CC80" s="231"/>
      <c r="CD80" s="231"/>
      <c r="CE80" s="231"/>
      <c r="CF80" s="231"/>
      <c r="CG80" s="231"/>
      <c r="CH80" s="231"/>
      <c r="CI80" s="231"/>
      <c r="CJ80" s="231"/>
      <c r="CK80" s="231"/>
      <c r="CL80" s="231"/>
      <c r="CM80" s="231"/>
      <c r="CN80" s="231"/>
      <c r="CO80" s="231"/>
      <c r="CP80" s="231"/>
      <c r="CQ80" s="231"/>
      <c r="CR80" s="231"/>
      <c r="CS80" s="231"/>
      <c r="CT80" s="231"/>
      <c r="CU80" s="231"/>
      <c r="CV80" s="231"/>
    </row>
    <row r="81" spans="17:100" ht="14.1" customHeight="1" x14ac:dyDescent="0.15">
      <c r="Q81"/>
      <c r="T81"/>
      <c r="AF81"/>
      <c r="AG81"/>
      <c r="AH81"/>
      <c r="AI81" s="232" t="str">
        <f>_xlfn.IFNA(IF(INDEX(製品仕様マスタ!C:C,MATCH(W2Pデータ貼り付け!T81,製品仕様マスタ!B:B,0))=0,"",INDEX(製品仕様マスタ!C:C,MATCH(W2Pデータ貼り付け!T81,製品仕様マスタ!B:B,0))),"")</f>
        <v/>
      </c>
      <c r="AJ81" s="232" t="str">
        <f>_xlfn.IFNA(IF(INDEX(製品仕様マスタ!AK:AK,MATCH(W2Pデータ貼り付け!T81,製品仕様マスタ!B:B,0))=0,"",INDEX(製品仕様マスタ!AK:AK,MATCH(W2Pデータ貼り付け!T81,製品仕様マスタ!B:B,0))),"")</f>
        <v/>
      </c>
      <c r="AK81" s="233" t="str">
        <f>_xlfn.IFNA(IF(INDEX(製品仕様マスタ!AY:AY,MATCH(W2Pデータ貼り付け!T81,製品仕様マスタ!B:B,0))=0,"",IF(INDEX(製品仕様マスタ!AY:AY,MATCH(W2Pデータ貼り付け!T81,製品仕様マスタ!B:B,0)) &lt;&gt; "-",INDEX(製品仕様マスタ!AY:AY,MATCH(W2Pデータ貼り付け!T81,製品仕様マスタ!B:B,0)),INDEX(製品仕様マスタ!AZ$1:BZ$500,MATCH(W2Pデータ貼り付け!T81,製品仕様マスタ!B:B,0),MATCH(W2Pデータ貼り付け!V81,製品仕様マスタ!AZ$1:BZ$1,0)))),"")</f>
        <v/>
      </c>
      <c r="AL81" s="232" t="str">
        <f t="shared" si="1"/>
        <v/>
      </c>
      <c r="AM81" s="232" t="str">
        <f>IF(AF81&lt;&gt;"",IF(ISNUMBER(T81),COUNT(AM$2:AM80)+1,""),"")</f>
        <v/>
      </c>
      <c r="AN81" s="231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  <c r="BD81" s="231"/>
      <c r="BE81" s="231"/>
      <c r="BF81" s="231"/>
      <c r="BG81" s="231"/>
      <c r="BH81" s="231"/>
      <c r="BI81" s="231"/>
      <c r="BJ81" s="231"/>
      <c r="BK81" s="231"/>
      <c r="BL81" s="231"/>
      <c r="BM81" s="231"/>
      <c r="BN81" s="231"/>
      <c r="BO81" s="231"/>
      <c r="BP81" s="231"/>
      <c r="BQ81" s="231"/>
      <c r="BR81" s="231"/>
      <c r="BS81" s="231"/>
      <c r="BT81" s="231"/>
      <c r="BU81" s="231"/>
      <c r="BV81" s="231"/>
      <c r="BW81" s="231"/>
      <c r="BX81" s="231"/>
      <c r="BY81" s="231"/>
      <c r="BZ81" s="231"/>
      <c r="CA81" s="231"/>
      <c r="CB81" s="231"/>
      <c r="CC81" s="231"/>
      <c r="CD81" s="231"/>
      <c r="CE81" s="231"/>
      <c r="CF81" s="231"/>
      <c r="CG81" s="231"/>
      <c r="CH81" s="231"/>
      <c r="CI81" s="231"/>
      <c r="CJ81" s="231"/>
      <c r="CK81" s="231"/>
      <c r="CL81" s="231"/>
      <c r="CM81" s="231"/>
      <c r="CN81" s="231"/>
      <c r="CO81" s="231"/>
      <c r="CP81" s="231"/>
      <c r="CQ81" s="231"/>
      <c r="CR81" s="231"/>
      <c r="CS81" s="231"/>
      <c r="CT81" s="231"/>
      <c r="CU81" s="231"/>
      <c r="CV81" s="231"/>
    </row>
    <row r="82" spans="17:100" ht="14.1" customHeight="1" x14ac:dyDescent="0.15">
      <c r="Q82"/>
      <c r="T82"/>
      <c r="AF82"/>
      <c r="AG82"/>
      <c r="AH82"/>
      <c r="AI82" s="232" t="str">
        <f>_xlfn.IFNA(IF(INDEX(製品仕様マスタ!C:C,MATCH(W2Pデータ貼り付け!T82,製品仕様マスタ!B:B,0))=0,"",INDEX(製品仕様マスタ!C:C,MATCH(W2Pデータ貼り付け!T82,製品仕様マスタ!B:B,0))),"")</f>
        <v/>
      </c>
      <c r="AJ82" s="232" t="str">
        <f>_xlfn.IFNA(IF(INDEX(製品仕様マスタ!AK:AK,MATCH(W2Pデータ貼り付け!T82,製品仕様マスタ!B:B,0))=0,"",INDEX(製品仕様マスタ!AK:AK,MATCH(W2Pデータ貼り付け!T82,製品仕様マスタ!B:B,0))),"")</f>
        <v/>
      </c>
      <c r="AK82" s="233" t="str">
        <f>_xlfn.IFNA(IF(INDEX(製品仕様マスタ!AY:AY,MATCH(W2Pデータ貼り付け!T82,製品仕様マスタ!B:B,0))=0,"",IF(INDEX(製品仕様マスタ!AY:AY,MATCH(W2Pデータ貼り付け!T82,製品仕様マスタ!B:B,0)) &lt;&gt; "-",INDEX(製品仕様マスタ!AY:AY,MATCH(W2Pデータ貼り付け!T82,製品仕様マスタ!B:B,0)),INDEX(製品仕様マスタ!AZ$1:BZ$500,MATCH(W2Pデータ貼り付け!T82,製品仕様マスタ!B:B,0),MATCH(W2Pデータ貼り付け!V82,製品仕様マスタ!AZ$1:BZ$1,0)))),"")</f>
        <v/>
      </c>
      <c r="AL82" s="232" t="str">
        <f t="shared" si="1"/>
        <v/>
      </c>
      <c r="AM82" s="232" t="str">
        <f>IF(AF82&lt;&gt;"",IF(ISNUMBER(T82),COUNT(AM$2:AM81)+1,""),"")</f>
        <v/>
      </c>
      <c r="AN82" s="231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  <c r="BD82" s="231"/>
      <c r="BE82" s="231"/>
      <c r="BF82" s="231"/>
      <c r="BG82" s="231"/>
      <c r="BH82" s="231"/>
      <c r="BI82" s="231"/>
      <c r="BJ82" s="231"/>
      <c r="BK82" s="231"/>
      <c r="BL82" s="231"/>
      <c r="BM82" s="231"/>
      <c r="BN82" s="231"/>
      <c r="BO82" s="231"/>
      <c r="BP82" s="231"/>
      <c r="BQ82" s="231"/>
      <c r="BR82" s="231"/>
      <c r="BS82" s="231"/>
      <c r="BT82" s="231"/>
      <c r="BU82" s="231"/>
      <c r="BV82" s="231"/>
      <c r="BW82" s="231"/>
      <c r="BX82" s="231"/>
      <c r="BY82" s="231"/>
      <c r="BZ82" s="231"/>
      <c r="CA82" s="231"/>
      <c r="CB82" s="231"/>
      <c r="CC82" s="231"/>
      <c r="CD82" s="231"/>
      <c r="CE82" s="231"/>
      <c r="CF82" s="231"/>
      <c r="CG82" s="231"/>
      <c r="CH82" s="231"/>
      <c r="CI82" s="231"/>
      <c r="CJ82" s="231"/>
      <c r="CK82" s="231"/>
      <c r="CL82" s="231"/>
      <c r="CM82" s="231"/>
      <c r="CN82" s="231"/>
      <c r="CO82" s="231"/>
      <c r="CP82" s="231"/>
      <c r="CQ82" s="231"/>
      <c r="CR82" s="231"/>
      <c r="CS82" s="231"/>
      <c r="CT82" s="231"/>
      <c r="CU82" s="231"/>
      <c r="CV82" s="231"/>
    </row>
    <row r="83" spans="17:100" ht="14.1" customHeight="1" x14ac:dyDescent="0.15">
      <c r="Q83"/>
      <c r="T83"/>
      <c r="AF83"/>
      <c r="AG83"/>
      <c r="AH83"/>
      <c r="AI83" s="232" t="str">
        <f>_xlfn.IFNA(IF(INDEX(製品仕様マスタ!C:C,MATCH(W2Pデータ貼り付け!T83,製品仕様マスタ!B:B,0))=0,"",INDEX(製品仕様マスタ!C:C,MATCH(W2Pデータ貼り付け!T83,製品仕様マスタ!B:B,0))),"")</f>
        <v/>
      </c>
      <c r="AJ83" s="232" t="str">
        <f>_xlfn.IFNA(IF(INDEX(製品仕様マスタ!AK:AK,MATCH(W2Pデータ貼り付け!T83,製品仕様マスタ!B:B,0))=0,"",INDEX(製品仕様マスタ!AK:AK,MATCH(W2Pデータ貼り付け!T83,製品仕様マスタ!B:B,0))),"")</f>
        <v/>
      </c>
      <c r="AK83" s="233" t="str">
        <f>_xlfn.IFNA(IF(INDEX(製品仕様マスタ!AY:AY,MATCH(W2Pデータ貼り付け!T83,製品仕様マスタ!B:B,0))=0,"",IF(INDEX(製品仕様マスタ!AY:AY,MATCH(W2Pデータ貼り付け!T83,製品仕様マスタ!B:B,0)) &lt;&gt; "-",INDEX(製品仕様マスタ!AY:AY,MATCH(W2Pデータ貼り付け!T83,製品仕様マスタ!B:B,0)),INDEX(製品仕様マスタ!AZ$1:BZ$500,MATCH(W2Pデータ貼り付け!T83,製品仕様マスタ!B:B,0),MATCH(W2Pデータ貼り付け!V83,製品仕様マスタ!AZ$1:BZ$1,0)))),"")</f>
        <v/>
      </c>
      <c r="AL83" s="232" t="str">
        <f t="shared" si="1"/>
        <v/>
      </c>
      <c r="AM83" s="232" t="str">
        <f>IF(AF83&lt;&gt;"",IF(ISNUMBER(T83),COUNT(AM$2:AM82)+1,""),"")</f>
        <v/>
      </c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  <c r="CK83" s="231"/>
      <c r="CL83" s="231"/>
      <c r="CM83" s="231"/>
      <c r="CN83" s="231"/>
      <c r="CO83" s="231"/>
      <c r="CP83" s="231"/>
      <c r="CQ83" s="231"/>
      <c r="CR83" s="231"/>
      <c r="CS83" s="231"/>
      <c r="CT83" s="231"/>
      <c r="CU83" s="231"/>
      <c r="CV83" s="231"/>
    </row>
    <row r="84" spans="17:100" ht="14.1" customHeight="1" x14ac:dyDescent="0.15">
      <c r="Q84"/>
      <c r="T84"/>
      <c r="AF84"/>
      <c r="AG84"/>
      <c r="AH84"/>
      <c r="AI84" s="232" t="str">
        <f>_xlfn.IFNA(IF(INDEX(製品仕様マスタ!C:C,MATCH(W2Pデータ貼り付け!T84,製品仕様マスタ!B:B,0))=0,"",INDEX(製品仕様マスタ!C:C,MATCH(W2Pデータ貼り付け!T84,製品仕様マスタ!B:B,0))),"")</f>
        <v/>
      </c>
      <c r="AJ84" s="232" t="str">
        <f>_xlfn.IFNA(IF(INDEX(製品仕様マスタ!AK:AK,MATCH(W2Pデータ貼り付け!T84,製品仕様マスタ!B:B,0))=0,"",INDEX(製品仕様マスタ!AK:AK,MATCH(W2Pデータ貼り付け!T84,製品仕様マスタ!B:B,0))),"")</f>
        <v/>
      </c>
      <c r="AK84" s="233" t="str">
        <f>_xlfn.IFNA(IF(INDEX(製品仕様マスタ!AY:AY,MATCH(W2Pデータ貼り付け!T84,製品仕様マスタ!B:B,0))=0,"",IF(INDEX(製品仕様マスタ!AY:AY,MATCH(W2Pデータ貼り付け!T84,製品仕様マスタ!B:B,0)) &lt;&gt; "-",INDEX(製品仕様マスタ!AY:AY,MATCH(W2Pデータ貼り付け!T84,製品仕様マスタ!B:B,0)),INDEX(製品仕様マスタ!AZ$1:BZ$500,MATCH(W2Pデータ貼り付け!T84,製品仕様マスタ!B:B,0),MATCH(W2Pデータ貼り付け!V84,製品仕様マスタ!AZ$1:BZ$1,0)))),"")</f>
        <v/>
      </c>
      <c r="AL84" s="232" t="str">
        <f t="shared" si="1"/>
        <v/>
      </c>
      <c r="AM84" s="232" t="str">
        <f>IF(AF84&lt;&gt;"",IF(ISNUMBER(T84),COUNT(AM$2:AM83)+1,""),"")</f>
        <v/>
      </c>
      <c r="AN84" s="231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  <c r="BD84" s="231"/>
      <c r="BE84" s="231"/>
      <c r="BF84" s="231"/>
      <c r="BG84" s="231"/>
      <c r="BH84" s="231"/>
      <c r="BI84" s="231"/>
      <c r="BJ84" s="231"/>
      <c r="BK84" s="231"/>
      <c r="BL84" s="231"/>
      <c r="BM84" s="231"/>
      <c r="BN84" s="231"/>
      <c r="BO84" s="231"/>
      <c r="BP84" s="231"/>
      <c r="BQ84" s="231"/>
      <c r="BR84" s="231"/>
      <c r="BS84" s="231"/>
      <c r="BT84" s="231"/>
      <c r="BU84" s="231"/>
      <c r="BV84" s="231"/>
      <c r="BW84" s="231"/>
      <c r="BX84" s="231"/>
      <c r="BY84" s="231"/>
      <c r="BZ84" s="231"/>
      <c r="CA84" s="231"/>
      <c r="CB84" s="231"/>
      <c r="CC84" s="231"/>
      <c r="CD84" s="231"/>
      <c r="CE84" s="231"/>
      <c r="CF84" s="231"/>
      <c r="CG84" s="231"/>
      <c r="CH84" s="231"/>
      <c r="CI84" s="231"/>
      <c r="CJ84" s="231"/>
      <c r="CK84" s="231"/>
      <c r="CL84" s="231"/>
      <c r="CM84" s="231"/>
      <c r="CN84" s="231"/>
      <c r="CO84" s="231"/>
      <c r="CP84" s="231"/>
      <c r="CQ84" s="231"/>
      <c r="CR84" s="231"/>
      <c r="CS84" s="231"/>
      <c r="CT84" s="231"/>
      <c r="CU84" s="231"/>
      <c r="CV84" s="231"/>
    </row>
    <row r="85" spans="17:100" ht="14.1" customHeight="1" x14ac:dyDescent="0.15">
      <c r="Q85"/>
      <c r="T85"/>
      <c r="AF85"/>
      <c r="AG85"/>
      <c r="AH85"/>
      <c r="AI85" s="232" t="str">
        <f>_xlfn.IFNA(IF(INDEX(製品仕様マスタ!C:C,MATCH(W2Pデータ貼り付け!T85,製品仕様マスタ!B:B,0))=0,"",INDEX(製品仕様マスタ!C:C,MATCH(W2Pデータ貼り付け!T85,製品仕様マスタ!B:B,0))),"")</f>
        <v/>
      </c>
      <c r="AJ85" s="232" t="str">
        <f>_xlfn.IFNA(IF(INDEX(製品仕様マスタ!AK:AK,MATCH(W2Pデータ貼り付け!T85,製品仕様マスタ!B:B,0))=0,"",INDEX(製品仕様マスタ!AK:AK,MATCH(W2Pデータ貼り付け!T85,製品仕様マスタ!B:B,0))),"")</f>
        <v/>
      </c>
      <c r="AK85" s="233" t="str">
        <f>_xlfn.IFNA(IF(INDEX(製品仕様マスタ!AY:AY,MATCH(W2Pデータ貼り付け!T85,製品仕様マスタ!B:B,0))=0,"",IF(INDEX(製品仕様マスタ!AY:AY,MATCH(W2Pデータ貼り付け!T85,製品仕様マスタ!B:B,0)) &lt;&gt; "-",INDEX(製品仕様マスタ!AY:AY,MATCH(W2Pデータ貼り付け!T85,製品仕様マスタ!B:B,0)),INDEX(製品仕様マスタ!AZ$1:BZ$500,MATCH(W2Pデータ貼り付け!T85,製品仕様マスタ!B:B,0),MATCH(W2Pデータ貼り付け!V85,製品仕様マスタ!AZ$1:BZ$1,0)))),"")</f>
        <v/>
      </c>
      <c r="AL85" s="232" t="str">
        <f t="shared" si="1"/>
        <v/>
      </c>
      <c r="AM85" s="232" t="str">
        <f>IF(AF85&lt;&gt;"",IF(ISNUMBER(T85),COUNT(AM$2:AM84)+1,""),"")</f>
        <v/>
      </c>
      <c r="AN85" s="231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  <c r="BD85" s="231"/>
      <c r="BE85" s="231"/>
      <c r="BF85" s="231"/>
      <c r="BG85" s="231"/>
      <c r="BH85" s="231"/>
      <c r="BI85" s="231"/>
      <c r="BJ85" s="231"/>
      <c r="BK85" s="231"/>
      <c r="BL85" s="231"/>
      <c r="BM85" s="231"/>
      <c r="BN85" s="231"/>
      <c r="BO85" s="231"/>
      <c r="BP85" s="231"/>
      <c r="BQ85" s="231"/>
      <c r="BR85" s="231"/>
      <c r="BS85" s="231"/>
      <c r="BT85" s="231"/>
      <c r="BU85" s="231"/>
      <c r="BV85" s="231"/>
      <c r="BW85" s="231"/>
      <c r="BX85" s="231"/>
      <c r="BY85" s="231"/>
      <c r="BZ85" s="231"/>
      <c r="CA85" s="231"/>
      <c r="CB85" s="231"/>
      <c r="CC85" s="231"/>
      <c r="CD85" s="231"/>
      <c r="CE85" s="231"/>
      <c r="CF85" s="231"/>
      <c r="CG85" s="231"/>
      <c r="CH85" s="231"/>
      <c r="CI85" s="231"/>
      <c r="CJ85" s="231"/>
      <c r="CK85" s="231"/>
      <c r="CL85" s="231"/>
      <c r="CM85" s="231"/>
      <c r="CN85" s="231"/>
      <c r="CO85" s="231"/>
      <c r="CP85" s="231"/>
      <c r="CQ85" s="231"/>
      <c r="CR85" s="231"/>
      <c r="CS85" s="231"/>
      <c r="CT85" s="231"/>
      <c r="CU85" s="231"/>
      <c r="CV85" s="231"/>
    </row>
    <row r="86" spans="17:100" ht="14.1" customHeight="1" x14ac:dyDescent="0.15">
      <c r="Q86"/>
      <c r="T86"/>
      <c r="AF86"/>
      <c r="AG86"/>
      <c r="AH86"/>
      <c r="AI86" s="232" t="str">
        <f>_xlfn.IFNA(IF(INDEX(製品仕様マスタ!C:C,MATCH(W2Pデータ貼り付け!T86,製品仕様マスタ!B:B,0))=0,"",INDEX(製品仕様マスタ!C:C,MATCH(W2Pデータ貼り付け!T86,製品仕様マスタ!B:B,0))),"")</f>
        <v/>
      </c>
      <c r="AJ86" s="232" t="str">
        <f>_xlfn.IFNA(IF(INDEX(製品仕様マスタ!AK:AK,MATCH(W2Pデータ貼り付け!T86,製品仕様マスタ!B:B,0))=0,"",INDEX(製品仕様マスタ!AK:AK,MATCH(W2Pデータ貼り付け!T86,製品仕様マスタ!B:B,0))),"")</f>
        <v/>
      </c>
      <c r="AK86" s="233" t="str">
        <f>_xlfn.IFNA(IF(INDEX(製品仕様マスタ!AY:AY,MATCH(W2Pデータ貼り付け!T86,製品仕様マスタ!B:B,0))=0,"",IF(INDEX(製品仕様マスタ!AY:AY,MATCH(W2Pデータ貼り付け!T86,製品仕様マスタ!B:B,0)) &lt;&gt; "-",INDEX(製品仕様マスタ!AY:AY,MATCH(W2Pデータ貼り付け!T86,製品仕様マスタ!B:B,0)),INDEX(製品仕様マスタ!AZ$1:BZ$500,MATCH(W2Pデータ貼り付け!T86,製品仕様マスタ!B:B,0),MATCH(W2Pデータ貼り付け!V86,製品仕様マスタ!AZ$1:BZ$1,0)))),"")</f>
        <v/>
      </c>
      <c r="AL86" s="232" t="str">
        <f t="shared" si="1"/>
        <v/>
      </c>
      <c r="AM86" s="232" t="str">
        <f>IF(AF86&lt;&gt;"",IF(ISNUMBER(T86),COUNT(AM$2:AM85)+1,""),"")</f>
        <v/>
      </c>
      <c r="AN86" s="231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  <c r="BM86" s="231"/>
      <c r="BN86" s="231"/>
      <c r="BO86" s="231"/>
      <c r="BP86" s="231"/>
      <c r="BQ86" s="231"/>
      <c r="BR86" s="231"/>
      <c r="BS86" s="231"/>
      <c r="BT86" s="231"/>
      <c r="BU86" s="231"/>
      <c r="BV86" s="231"/>
      <c r="BW86" s="231"/>
      <c r="BX86" s="231"/>
      <c r="BY86" s="231"/>
      <c r="BZ86" s="231"/>
      <c r="CA86" s="231"/>
      <c r="CB86" s="231"/>
      <c r="CC86" s="231"/>
      <c r="CD86" s="231"/>
      <c r="CE86" s="231"/>
      <c r="CF86" s="231"/>
      <c r="CG86" s="231"/>
      <c r="CH86" s="231"/>
      <c r="CI86" s="231"/>
      <c r="CJ86" s="231"/>
      <c r="CK86" s="231"/>
      <c r="CL86" s="231"/>
      <c r="CM86" s="231"/>
      <c r="CN86" s="231"/>
      <c r="CO86" s="231"/>
      <c r="CP86" s="231"/>
      <c r="CQ86" s="231"/>
      <c r="CR86" s="231"/>
      <c r="CS86" s="231"/>
      <c r="CT86" s="231"/>
      <c r="CU86" s="231"/>
      <c r="CV86" s="231"/>
    </row>
    <row r="87" spans="17:100" ht="14.1" customHeight="1" x14ac:dyDescent="0.15">
      <c r="Q87"/>
      <c r="T87"/>
      <c r="AF87"/>
      <c r="AG87"/>
      <c r="AH87"/>
      <c r="AI87" s="232" t="str">
        <f>_xlfn.IFNA(IF(INDEX(製品仕様マスタ!C:C,MATCH(W2Pデータ貼り付け!T87,製品仕様マスタ!B:B,0))=0,"",INDEX(製品仕様マスタ!C:C,MATCH(W2Pデータ貼り付け!T87,製品仕様マスタ!B:B,0))),"")</f>
        <v/>
      </c>
      <c r="AJ87" s="232" t="str">
        <f>_xlfn.IFNA(IF(INDEX(製品仕様マスタ!AK:AK,MATCH(W2Pデータ貼り付け!T87,製品仕様マスタ!B:B,0))=0,"",INDEX(製品仕様マスタ!AK:AK,MATCH(W2Pデータ貼り付け!T87,製品仕様マスタ!B:B,0))),"")</f>
        <v/>
      </c>
      <c r="AK87" s="233" t="str">
        <f>_xlfn.IFNA(IF(INDEX(製品仕様マスタ!AY:AY,MATCH(W2Pデータ貼り付け!T87,製品仕様マスタ!B:B,0))=0,"",IF(INDEX(製品仕様マスタ!AY:AY,MATCH(W2Pデータ貼り付け!T87,製品仕様マスタ!B:B,0)) &lt;&gt; "-",INDEX(製品仕様マスタ!AY:AY,MATCH(W2Pデータ貼り付け!T87,製品仕様マスタ!B:B,0)),INDEX(製品仕様マスタ!AZ$1:BZ$500,MATCH(W2Pデータ貼り付け!T87,製品仕様マスタ!B:B,0),MATCH(W2Pデータ貼り付け!V87,製品仕様マスタ!AZ$1:BZ$1,0)))),"")</f>
        <v/>
      </c>
      <c r="AL87" s="232" t="str">
        <f t="shared" si="1"/>
        <v/>
      </c>
      <c r="AM87" s="232" t="str">
        <f>IF(AF87&lt;&gt;"",IF(ISNUMBER(T87),COUNT(AM$2:AM86)+1,""),"")</f>
        <v/>
      </c>
      <c r="AN87" s="231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  <c r="BD87" s="231"/>
      <c r="BE87" s="231"/>
      <c r="BF87" s="231"/>
      <c r="BG87" s="231"/>
      <c r="BH87" s="231"/>
      <c r="BI87" s="231"/>
      <c r="BJ87" s="231"/>
      <c r="BK87" s="231"/>
      <c r="BL87" s="231"/>
      <c r="BM87" s="231"/>
      <c r="BN87" s="231"/>
      <c r="BO87" s="231"/>
      <c r="BP87" s="231"/>
      <c r="BQ87" s="231"/>
      <c r="BR87" s="231"/>
      <c r="BS87" s="231"/>
      <c r="BT87" s="231"/>
      <c r="BU87" s="231"/>
      <c r="BV87" s="231"/>
      <c r="BW87" s="231"/>
      <c r="BX87" s="231"/>
      <c r="BY87" s="231"/>
      <c r="BZ87" s="231"/>
      <c r="CA87" s="231"/>
      <c r="CB87" s="231"/>
      <c r="CC87" s="231"/>
      <c r="CD87" s="231"/>
      <c r="CE87" s="231"/>
      <c r="CF87" s="231"/>
      <c r="CG87" s="231"/>
      <c r="CH87" s="231"/>
      <c r="CI87" s="231"/>
      <c r="CJ87" s="231"/>
      <c r="CK87" s="231"/>
      <c r="CL87" s="231"/>
      <c r="CM87" s="231"/>
      <c r="CN87" s="231"/>
      <c r="CO87" s="231"/>
      <c r="CP87" s="231"/>
      <c r="CQ87" s="231"/>
      <c r="CR87" s="231"/>
      <c r="CS87" s="231"/>
      <c r="CT87" s="231"/>
      <c r="CU87" s="231"/>
      <c r="CV87" s="231"/>
    </row>
    <row r="88" spans="17:100" ht="14.1" customHeight="1" x14ac:dyDescent="0.15">
      <c r="Q88"/>
      <c r="T88"/>
      <c r="AF88"/>
      <c r="AG88"/>
      <c r="AH88"/>
      <c r="AI88" s="232" t="str">
        <f>_xlfn.IFNA(IF(INDEX(製品仕様マスタ!C:C,MATCH(W2Pデータ貼り付け!T88,製品仕様マスタ!B:B,0))=0,"",INDEX(製品仕様マスタ!C:C,MATCH(W2Pデータ貼り付け!T88,製品仕様マスタ!B:B,0))),"")</f>
        <v/>
      </c>
      <c r="AJ88" s="232" t="str">
        <f>_xlfn.IFNA(IF(INDEX(製品仕様マスタ!AK:AK,MATCH(W2Pデータ貼り付け!T88,製品仕様マスタ!B:B,0))=0,"",INDEX(製品仕様マスタ!AK:AK,MATCH(W2Pデータ貼り付け!T88,製品仕様マスタ!B:B,0))),"")</f>
        <v/>
      </c>
      <c r="AK88" s="233" t="str">
        <f>_xlfn.IFNA(IF(INDEX(製品仕様マスタ!AY:AY,MATCH(W2Pデータ貼り付け!T88,製品仕様マスタ!B:B,0))=0,"",IF(INDEX(製品仕様マスタ!AY:AY,MATCH(W2Pデータ貼り付け!T88,製品仕様マスタ!B:B,0)) &lt;&gt; "-",INDEX(製品仕様マスタ!AY:AY,MATCH(W2Pデータ貼り付け!T88,製品仕様マスタ!B:B,0)),INDEX(製品仕様マスタ!AZ$1:BZ$500,MATCH(W2Pデータ貼り付け!T88,製品仕様マスタ!B:B,0),MATCH(W2Pデータ貼り付け!V88,製品仕様マスタ!AZ$1:BZ$1,0)))),"")</f>
        <v/>
      </c>
      <c r="AL88" s="232" t="str">
        <f t="shared" si="1"/>
        <v/>
      </c>
      <c r="AM88" s="232" t="str">
        <f>IF(AF88&lt;&gt;"",IF(ISNUMBER(T88),COUNT(AM$2:AM87)+1,""),"")</f>
        <v/>
      </c>
      <c r="AN88" s="231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  <c r="BD88" s="231"/>
      <c r="BE88" s="231"/>
      <c r="BF88" s="231"/>
      <c r="BG88" s="231"/>
      <c r="BH88" s="231"/>
      <c r="BI88" s="231"/>
      <c r="BJ88" s="231"/>
      <c r="BK88" s="231"/>
      <c r="BL88" s="231"/>
      <c r="BM88" s="231"/>
      <c r="BN88" s="231"/>
      <c r="BO88" s="231"/>
      <c r="BP88" s="231"/>
      <c r="BQ88" s="231"/>
      <c r="BR88" s="231"/>
      <c r="BS88" s="231"/>
      <c r="BT88" s="231"/>
      <c r="BU88" s="231"/>
      <c r="BV88" s="231"/>
      <c r="BW88" s="231"/>
      <c r="BX88" s="231"/>
      <c r="BY88" s="231"/>
      <c r="BZ88" s="231"/>
      <c r="CA88" s="231"/>
      <c r="CB88" s="231"/>
      <c r="CC88" s="231"/>
      <c r="CD88" s="231"/>
      <c r="CE88" s="231"/>
      <c r="CF88" s="231"/>
      <c r="CG88" s="231"/>
      <c r="CH88" s="231"/>
      <c r="CI88" s="231"/>
      <c r="CJ88" s="231"/>
      <c r="CK88" s="231"/>
      <c r="CL88" s="231"/>
      <c r="CM88" s="231"/>
      <c r="CN88" s="231"/>
      <c r="CO88" s="231"/>
      <c r="CP88" s="231"/>
      <c r="CQ88" s="231"/>
      <c r="CR88" s="231"/>
      <c r="CS88" s="231"/>
      <c r="CT88" s="231"/>
      <c r="CU88" s="231"/>
      <c r="CV88" s="231"/>
    </row>
    <row r="89" spans="17:100" ht="14.1" customHeight="1" x14ac:dyDescent="0.15">
      <c r="Q89"/>
      <c r="T89"/>
      <c r="AF89"/>
      <c r="AG89"/>
      <c r="AH89"/>
      <c r="AI89" s="232" t="str">
        <f>_xlfn.IFNA(IF(INDEX(製品仕様マスタ!C:C,MATCH(W2Pデータ貼り付け!T89,製品仕様マスタ!B:B,0))=0,"",INDEX(製品仕様マスタ!C:C,MATCH(W2Pデータ貼り付け!T89,製品仕様マスタ!B:B,0))),"")</f>
        <v/>
      </c>
      <c r="AJ89" s="232" t="str">
        <f>_xlfn.IFNA(IF(INDEX(製品仕様マスタ!AK:AK,MATCH(W2Pデータ貼り付け!T89,製品仕様マスタ!B:B,0))=0,"",INDEX(製品仕様マスタ!AK:AK,MATCH(W2Pデータ貼り付け!T89,製品仕様マスタ!B:B,0))),"")</f>
        <v/>
      </c>
      <c r="AK89" s="233" t="str">
        <f>_xlfn.IFNA(IF(INDEX(製品仕様マスタ!AY:AY,MATCH(W2Pデータ貼り付け!T89,製品仕様マスタ!B:B,0))=0,"",IF(INDEX(製品仕様マスタ!AY:AY,MATCH(W2Pデータ貼り付け!T89,製品仕様マスタ!B:B,0)) &lt;&gt; "-",INDEX(製品仕様マスタ!AY:AY,MATCH(W2Pデータ貼り付け!T89,製品仕様マスタ!B:B,0)),INDEX(製品仕様マスタ!AZ$1:BZ$500,MATCH(W2Pデータ貼り付け!T89,製品仕様マスタ!B:B,0),MATCH(W2Pデータ貼り付け!V89,製品仕様マスタ!AZ$1:BZ$1,0)))),"")</f>
        <v/>
      </c>
      <c r="AL89" s="232" t="str">
        <f t="shared" si="1"/>
        <v/>
      </c>
      <c r="AM89" s="232" t="str">
        <f>IF(AF89&lt;&gt;"",IF(ISNUMBER(T89),COUNT(AM$2:AM88)+1,""),"")</f>
        <v/>
      </c>
      <c r="AN89" s="231"/>
      <c r="AO89" s="231"/>
      <c r="AP89" s="231"/>
      <c r="AQ89" s="231"/>
      <c r="AR89" s="231"/>
      <c r="AS89" s="231"/>
      <c r="AT89" s="231"/>
      <c r="AU89" s="231"/>
      <c r="AV89" s="231"/>
      <c r="AW89" s="231"/>
      <c r="AX89" s="231"/>
      <c r="AY89" s="231"/>
      <c r="AZ89" s="231"/>
      <c r="BA89" s="231"/>
      <c r="BB89" s="231"/>
      <c r="BC89" s="231"/>
      <c r="BD89" s="231"/>
      <c r="BE89" s="231"/>
      <c r="BF89" s="231"/>
      <c r="BG89" s="231"/>
      <c r="BH89" s="231"/>
      <c r="BI89" s="231"/>
      <c r="BJ89" s="231"/>
      <c r="BK89" s="231"/>
      <c r="BL89" s="231"/>
      <c r="BM89" s="231"/>
      <c r="BN89" s="231"/>
      <c r="BO89" s="231"/>
      <c r="BP89" s="231"/>
      <c r="BQ89" s="231"/>
      <c r="BR89" s="231"/>
      <c r="BS89" s="231"/>
      <c r="BT89" s="231"/>
      <c r="BU89" s="231"/>
      <c r="BV89" s="231"/>
      <c r="BW89" s="231"/>
      <c r="BX89" s="231"/>
      <c r="BY89" s="231"/>
      <c r="BZ89" s="231"/>
      <c r="CA89" s="231"/>
      <c r="CB89" s="231"/>
      <c r="CC89" s="231"/>
      <c r="CD89" s="231"/>
      <c r="CE89" s="231"/>
      <c r="CF89" s="231"/>
      <c r="CG89" s="231"/>
      <c r="CH89" s="231"/>
      <c r="CI89" s="231"/>
      <c r="CJ89" s="231"/>
      <c r="CK89" s="231"/>
      <c r="CL89" s="231"/>
      <c r="CM89" s="231"/>
      <c r="CN89" s="231"/>
      <c r="CO89" s="231"/>
      <c r="CP89" s="231"/>
      <c r="CQ89" s="231"/>
      <c r="CR89" s="231"/>
      <c r="CS89" s="231"/>
      <c r="CT89" s="231"/>
      <c r="CU89" s="231"/>
      <c r="CV89" s="231"/>
    </row>
    <row r="90" spans="17:100" ht="14.1" customHeight="1" x14ac:dyDescent="0.15">
      <c r="Q90"/>
      <c r="T90"/>
      <c r="AF90"/>
      <c r="AG90"/>
      <c r="AH90"/>
      <c r="AI90" s="232" t="str">
        <f>_xlfn.IFNA(IF(INDEX(製品仕様マスタ!C:C,MATCH(W2Pデータ貼り付け!T90,製品仕様マスタ!B:B,0))=0,"",INDEX(製品仕様マスタ!C:C,MATCH(W2Pデータ貼り付け!T90,製品仕様マスタ!B:B,0))),"")</f>
        <v/>
      </c>
      <c r="AJ90" s="232" t="str">
        <f>_xlfn.IFNA(IF(INDEX(製品仕様マスタ!AK:AK,MATCH(W2Pデータ貼り付け!T90,製品仕様マスタ!B:B,0))=0,"",INDEX(製品仕様マスタ!AK:AK,MATCH(W2Pデータ貼り付け!T90,製品仕様マスタ!B:B,0))),"")</f>
        <v/>
      </c>
      <c r="AK90" s="233" t="str">
        <f>_xlfn.IFNA(IF(INDEX(製品仕様マスタ!AY:AY,MATCH(W2Pデータ貼り付け!T90,製品仕様マスタ!B:B,0))=0,"",IF(INDEX(製品仕様マスタ!AY:AY,MATCH(W2Pデータ貼り付け!T90,製品仕様マスタ!B:B,0)) &lt;&gt; "-",INDEX(製品仕様マスタ!AY:AY,MATCH(W2Pデータ貼り付け!T90,製品仕様マスタ!B:B,0)),INDEX(製品仕様マスタ!AZ$1:BZ$500,MATCH(W2Pデータ貼り付け!T90,製品仕様マスタ!B:B,0),MATCH(W2Pデータ貼り付け!V90,製品仕様マスタ!AZ$1:BZ$1,0)))),"")</f>
        <v/>
      </c>
      <c r="AL90" s="232" t="str">
        <f t="shared" si="1"/>
        <v/>
      </c>
      <c r="AM90" s="232" t="str">
        <f>IF(AF90&lt;&gt;"",IF(ISNUMBER(T90),COUNT(AM$2:AM89)+1,""),"")</f>
        <v/>
      </c>
      <c r="AN90" s="231"/>
      <c r="AO90" s="231"/>
      <c r="AP90" s="231"/>
      <c r="AQ90" s="231"/>
      <c r="AR90" s="231"/>
      <c r="AS90" s="231"/>
      <c r="AT90" s="231"/>
      <c r="AU90" s="231"/>
      <c r="AV90" s="231"/>
      <c r="AW90" s="231"/>
      <c r="AX90" s="231"/>
      <c r="AY90" s="231"/>
      <c r="AZ90" s="231"/>
      <c r="BA90" s="231"/>
      <c r="BB90" s="231"/>
      <c r="BC90" s="231"/>
      <c r="BD90" s="231"/>
      <c r="BE90" s="231"/>
      <c r="BF90" s="231"/>
      <c r="BG90" s="231"/>
      <c r="BH90" s="231"/>
      <c r="BI90" s="231"/>
      <c r="BJ90" s="231"/>
      <c r="BK90" s="231"/>
      <c r="BL90" s="231"/>
      <c r="BM90" s="231"/>
      <c r="BN90" s="231"/>
      <c r="BO90" s="231"/>
      <c r="BP90" s="231"/>
      <c r="BQ90" s="231"/>
      <c r="BR90" s="231"/>
      <c r="BS90" s="231"/>
      <c r="BT90" s="231"/>
      <c r="BU90" s="231"/>
      <c r="BV90" s="231"/>
      <c r="BW90" s="231"/>
      <c r="BX90" s="231"/>
      <c r="BY90" s="231"/>
      <c r="BZ90" s="231"/>
      <c r="CA90" s="231"/>
      <c r="CB90" s="231"/>
      <c r="CC90" s="231"/>
      <c r="CD90" s="231"/>
      <c r="CE90" s="231"/>
      <c r="CF90" s="231"/>
      <c r="CG90" s="231"/>
      <c r="CH90" s="231"/>
      <c r="CI90" s="231"/>
      <c r="CJ90" s="231"/>
      <c r="CK90" s="231"/>
      <c r="CL90" s="231"/>
      <c r="CM90" s="231"/>
      <c r="CN90" s="231"/>
      <c r="CO90" s="231"/>
      <c r="CP90" s="231"/>
      <c r="CQ90" s="231"/>
      <c r="CR90" s="231"/>
      <c r="CS90" s="231"/>
      <c r="CT90" s="231"/>
      <c r="CU90" s="231"/>
      <c r="CV90" s="231"/>
    </row>
    <row r="91" spans="17:100" ht="14.1" customHeight="1" x14ac:dyDescent="0.15">
      <c r="Q91"/>
      <c r="T91"/>
      <c r="AF91"/>
      <c r="AG91"/>
      <c r="AH91"/>
      <c r="AI91" s="232" t="str">
        <f>_xlfn.IFNA(IF(INDEX(製品仕様マスタ!C:C,MATCH(W2Pデータ貼り付け!T91,製品仕様マスタ!B:B,0))=0,"",INDEX(製品仕様マスタ!C:C,MATCH(W2Pデータ貼り付け!T91,製品仕様マスタ!B:B,0))),"")</f>
        <v/>
      </c>
      <c r="AJ91" s="232" t="str">
        <f>_xlfn.IFNA(IF(INDEX(製品仕様マスタ!AK:AK,MATCH(W2Pデータ貼り付け!T91,製品仕様マスタ!B:B,0))=0,"",INDEX(製品仕様マスタ!AK:AK,MATCH(W2Pデータ貼り付け!T91,製品仕様マスタ!B:B,0))),"")</f>
        <v/>
      </c>
      <c r="AK91" s="233" t="str">
        <f>_xlfn.IFNA(IF(INDEX(製品仕様マスタ!AY:AY,MATCH(W2Pデータ貼り付け!T91,製品仕様マスタ!B:B,0))=0,"",IF(INDEX(製品仕様マスタ!AY:AY,MATCH(W2Pデータ貼り付け!T91,製品仕様マスタ!B:B,0)) &lt;&gt; "-",INDEX(製品仕様マスタ!AY:AY,MATCH(W2Pデータ貼り付け!T91,製品仕様マスタ!B:B,0)),INDEX(製品仕様マスタ!AZ$1:BZ$500,MATCH(W2Pデータ貼り付け!T91,製品仕様マスタ!B:B,0),MATCH(W2Pデータ貼り付け!V91,製品仕様マスタ!AZ$1:BZ$1,0)))),"")</f>
        <v/>
      </c>
      <c r="AL91" s="232" t="str">
        <f t="shared" si="1"/>
        <v/>
      </c>
      <c r="AM91" s="232" t="str">
        <f>IF(AF91&lt;&gt;"",IF(ISNUMBER(T91),COUNT(AM$2:AM90)+1,""),"")</f>
        <v/>
      </c>
      <c r="AN91" s="231"/>
      <c r="AO91" s="231"/>
      <c r="AP91" s="231"/>
      <c r="AQ91" s="231"/>
      <c r="AR91" s="231"/>
      <c r="AS91" s="231"/>
      <c r="AT91" s="231"/>
      <c r="AU91" s="231"/>
      <c r="AV91" s="231"/>
      <c r="AW91" s="231"/>
      <c r="AX91" s="231"/>
      <c r="AY91" s="231"/>
      <c r="AZ91" s="231"/>
      <c r="BA91" s="231"/>
      <c r="BB91" s="231"/>
      <c r="BC91" s="231"/>
      <c r="BD91" s="231"/>
      <c r="BE91" s="231"/>
      <c r="BF91" s="231"/>
      <c r="BG91" s="231"/>
      <c r="BH91" s="231"/>
      <c r="BI91" s="231"/>
      <c r="BJ91" s="231"/>
      <c r="BK91" s="231"/>
      <c r="BL91" s="231"/>
      <c r="BM91" s="231"/>
      <c r="BN91" s="231"/>
      <c r="BO91" s="231"/>
      <c r="BP91" s="231"/>
      <c r="BQ91" s="231"/>
      <c r="BR91" s="231"/>
      <c r="BS91" s="231"/>
      <c r="BT91" s="231"/>
      <c r="BU91" s="231"/>
      <c r="BV91" s="231"/>
      <c r="BW91" s="231"/>
      <c r="BX91" s="231"/>
      <c r="BY91" s="231"/>
      <c r="BZ91" s="231"/>
      <c r="CA91" s="231"/>
      <c r="CB91" s="231"/>
      <c r="CC91" s="231"/>
      <c r="CD91" s="231"/>
      <c r="CE91" s="231"/>
      <c r="CF91" s="231"/>
      <c r="CG91" s="231"/>
      <c r="CH91" s="231"/>
      <c r="CI91" s="231"/>
      <c r="CJ91" s="231"/>
      <c r="CK91" s="231"/>
      <c r="CL91" s="231"/>
      <c r="CM91" s="231"/>
      <c r="CN91" s="231"/>
      <c r="CO91" s="231"/>
      <c r="CP91" s="231"/>
      <c r="CQ91" s="231"/>
      <c r="CR91" s="231"/>
      <c r="CS91" s="231"/>
      <c r="CT91" s="231"/>
      <c r="CU91" s="231"/>
      <c r="CV91" s="231"/>
    </row>
    <row r="92" spans="17:100" ht="14.1" customHeight="1" x14ac:dyDescent="0.15">
      <c r="Q92"/>
      <c r="T92"/>
      <c r="AF92"/>
      <c r="AG92"/>
      <c r="AH92"/>
      <c r="AI92" s="232" t="str">
        <f>_xlfn.IFNA(IF(INDEX(製品仕様マスタ!C:C,MATCH(W2Pデータ貼り付け!T92,製品仕様マスタ!B:B,0))=0,"",INDEX(製品仕様マスタ!C:C,MATCH(W2Pデータ貼り付け!T92,製品仕様マスタ!B:B,0))),"")</f>
        <v/>
      </c>
      <c r="AJ92" s="232" t="str">
        <f>_xlfn.IFNA(IF(INDEX(製品仕様マスタ!AK:AK,MATCH(W2Pデータ貼り付け!T92,製品仕様マスタ!B:B,0))=0,"",INDEX(製品仕様マスタ!AK:AK,MATCH(W2Pデータ貼り付け!T92,製品仕様マスタ!B:B,0))),"")</f>
        <v/>
      </c>
      <c r="AK92" s="233" t="str">
        <f>_xlfn.IFNA(IF(INDEX(製品仕様マスタ!AY:AY,MATCH(W2Pデータ貼り付け!T92,製品仕様マスタ!B:B,0))=0,"",IF(INDEX(製品仕様マスタ!AY:AY,MATCH(W2Pデータ貼り付け!T92,製品仕様マスタ!B:B,0)) &lt;&gt; "-",INDEX(製品仕様マスタ!AY:AY,MATCH(W2Pデータ貼り付け!T92,製品仕様マスタ!B:B,0)),INDEX(製品仕様マスタ!AZ$1:BZ$500,MATCH(W2Pデータ貼り付け!T92,製品仕様マスタ!B:B,0),MATCH(W2Pデータ貼り付け!V92,製品仕様マスタ!AZ$1:BZ$1,0)))),"")</f>
        <v/>
      </c>
      <c r="AL92" s="232" t="str">
        <f t="shared" si="1"/>
        <v/>
      </c>
      <c r="AM92" s="232" t="str">
        <f>IF(AF92&lt;&gt;"",IF(ISNUMBER(T92),COUNT(AM$2:AM91)+1,""),"")</f>
        <v/>
      </c>
      <c r="AN92" s="231"/>
      <c r="AO92" s="231"/>
      <c r="AP92" s="231"/>
      <c r="AQ92" s="231"/>
      <c r="AR92" s="231"/>
      <c r="AS92" s="231"/>
      <c r="AT92" s="231"/>
      <c r="AU92" s="231"/>
      <c r="AV92" s="231"/>
      <c r="AW92" s="231"/>
      <c r="AX92" s="231"/>
      <c r="AY92" s="231"/>
      <c r="AZ92" s="231"/>
      <c r="BA92" s="231"/>
      <c r="BB92" s="231"/>
      <c r="BC92" s="231"/>
      <c r="BD92" s="231"/>
      <c r="BE92" s="231"/>
      <c r="BF92" s="231"/>
      <c r="BG92" s="231"/>
      <c r="BH92" s="231"/>
      <c r="BI92" s="231"/>
      <c r="BJ92" s="231"/>
      <c r="BK92" s="231"/>
      <c r="BL92" s="231"/>
      <c r="BM92" s="231"/>
      <c r="BN92" s="231"/>
      <c r="BO92" s="231"/>
      <c r="BP92" s="231"/>
      <c r="BQ92" s="231"/>
      <c r="BR92" s="231"/>
      <c r="BS92" s="231"/>
      <c r="BT92" s="231"/>
      <c r="BU92" s="231"/>
      <c r="BV92" s="231"/>
      <c r="BW92" s="231"/>
      <c r="BX92" s="231"/>
      <c r="BY92" s="231"/>
      <c r="BZ92" s="231"/>
      <c r="CA92" s="231"/>
      <c r="CB92" s="231"/>
      <c r="CC92" s="231"/>
      <c r="CD92" s="231"/>
      <c r="CE92" s="231"/>
      <c r="CF92" s="231"/>
      <c r="CG92" s="231"/>
      <c r="CH92" s="231"/>
      <c r="CI92" s="231"/>
      <c r="CJ92" s="231"/>
      <c r="CK92" s="231"/>
      <c r="CL92" s="231"/>
      <c r="CM92" s="231"/>
      <c r="CN92" s="231"/>
      <c r="CO92" s="231"/>
      <c r="CP92" s="231"/>
      <c r="CQ92" s="231"/>
      <c r="CR92" s="231"/>
      <c r="CS92" s="231"/>
      <c r="CT92" s="231"/>
      <c r="CU92" s="231"/>
      <c r="CV92" s="231"/>
    </row>
    <row r="93" spans="17:100" ht="14.1" customHeight="1" x14ac:dyDescent="0.15">
      <c r="Q93"/>
      <c r="T93"/>
      <c r="AF93"/>
      <c r="AG93"/>
      <c r="AH93"/>
      <c r="AI93" s="232" t="str">
        <f>_xlfn.IFNA(IF(INDEX(製品仕様マスタ!C:C,MATCH(W2Pデータ貼り付け!T93,製品仕様マスタ!B:B,0))=0,"",INDEX(製品仕様マスタ!C:C,MATCH(W2Pデータ貼り付け!T93,製品仕様マスタ!B:B,0))),"")</f>
        <v/>
      </c>
      <c r="AJ93" s="232" t="str">
        <f>_xlfn.IFNA(IF(INDEX(製品仕様マスタ!AK:AK,MATCH(W2Pデータ貼り付け!T93,製品仕様マスタ!B:B,0))=0,"",INDEX(製品仕様マスタ!AK:AK,MATCH(W2Pデータ貼り付け!T93,製品仕様マスタ!B:B,0))),"")</f>
        <v/>
      </c>
      <c r="AK93" s="233" t="str">
        <f>_xlfn.IFNA(IF(INDEX(製品仕様マスタ!AY:AY,MATCH(W2Pデータ貼り付け!T93,製品仕様マスタ!B:B,0))=0,"",IF(INDEX(製品仕様マスタ!AY:AY,MATCH(W2Pデータ貼り付け!T93,製品仕様マスタ!B:B,0)) &lt;&gt; "-",INDEX(製品仕様マスタ!AY:AY,MATCH(W2Pデータ貼り付け!T93,製品仕様マスタ!B:B,0)),INDEX(製品仕様マスタ!AZ$1:BZ$500,MATCH(W2Pデータ貼り付け!T93,製品仕様マスタ!B:B,0),MATCH(W2Pデータ貼り付け!V93,製品仕様マスタ!AZ$1:BZ$1,0)))),"")</f>
        <v/>
      </c>
      <c r="AL93" s="232" t="str">
        <f t="shared" si="1"/>
        <v/>
      </c>
      <c r="AM93" s="232" t="str">
        <f>IF(AF93&lt;&gt;"",IF(ISNUMBER(T93),COUNT(AM$2:AM92)+1,""),"")</f>
        <v/>
      </c>
      <c r="AN93" s="231"/>
      <c r="AO93" s="231"/>
      <c r="AP93" s="231"/>
      <c r="AQ93" s="231"/>
      <c r="AR93" s="231"/>
      <c r="AS93" s="231"/>
      <c r="AT93" s="231"/>
      <c r="AU93" s="231"/>
      <c r="AV93" s="231"/>
      <c r="AW93" s="231"/>
      <c r="AX93" s="231"/>
      <c r="AY93" s="231"/>
      <c r="AZ93" s="231"/>
      <c r="BA93" s="231"/>
      <c r="BB93" s="231"/>
      <c r="BC93" s="231"/>
      <c r="BD93" s="231"/>
      <c r="BE93" s="231"/>
      <c r="BF93" s="231"/>
      <c r="BG93" s="231"/>
      <c r="BH93" s="231"/>
      <c r="BI93" s="231"/>
      <c r="BJ93" s="231"/>
      <c r="BK93" s="231"/>
      <c r="BL93" s="231"/>
      <c r="BM93" s="231"/>
      <c r="BN93" s="231"/>
      <c r="BO93" s="231"/>
      <c r="BP93" s="231"/>
      <c r="BQ93" s="231"/>
      <c r="BR93" s="231"/>
      <c r="BS93" s="231"/>
      <c r="BT93" s="231"/>
      <c r="BU93" s="231"/>
      <c r="BV93" s="231"/>
      <c r="BW93" s="231"/>
      <c r="BX93" s="231"/>
      <c r="BY93" s="231"/>
      <c r="BZ93" s="231"/>
      <c r="CA93" s="231"/>
      <c r="CB93" s="231"/>
      <c r="CC93" s="231"/>
      <c r="CD93" s="231"/>
      <c r="CE93" s="231"/>
      <c r="CF93" s="231"/>
      <c r="CG93" s="231"/>
      <c r="CH93" s="231"/>
      <c r="CI93" s="231"/>
      <c r="CJ93" s="231"/>
      <c r="CK93" s="231"/>
      <c r="CL93" s="231"/>
      <c r="CM93" s="231"/>
      <c r="CN93" s="231"/>
      <c r="CO93" s="231"/>
      <c r="CP93" s="231"/>
      <c r="CQ93" s="231"/>
      <c r="CR93" s="231"/>
      <c r="CS93" s="231"/>
      <c r="CT93" s="231"/>
      <c r="CU93" s="231"/>
      <c r="CV93" s="231"/>
    </row>
    <row r="94" spans="17:100" ht="14.1" customHeight="1" x14ac:dyDescent="0.15">
      <c r="Q94"/>
      <c r="T94"/>
      <c r="AF94"/>
      <c r="AG94"/>
      <c r="AH94"/>
      <c r="AI94" s="232" t="str">
        <f>_xlfn.IFNA(IF(INDEX(製品仕様マスタ!C:C,MATCH(W2Pデータ貼り付け!T94,製品仕様マスタ!B:B,0))=0,"",INDEX(製品仕様マスタ!C:C,MATCH(W2Pデータ貼り付け!T94,製品仕様マスタ!B:B,0))),"")</f>
        <v/>
      </c>
      <c r="AJ94" s="232" t="str">
        <f>_xlfn.IFNA(IF(INDEX(製品仕様マスタ!AK:AK,MATCH(W2Pデータ貼り付け!T94,製品仕様マスタ!B:B,0))=0,"",INDEX(製品仕様マスタ!AK:AK,MATCH(W2Pデータ貼り付け!T94,製品仕様マスタ!B:B,0))),"")</f>
        <v/>
      </c>
      <c r="AK94" s="233" t="str">
        <f>_xlfn.IFNA(IF(INDEX(製品仕様マスタ!AY:AY,MATCH(W2Pデータ貼り付け!T94,製品仕様マスタ!B:B,0))=0,"",IF(INDEX(製品仕様マスタ!AY:AY,MATCH(W2Pデータ貼り付け!T94,製品仕様マスタ!B:B,0)) &lt;&gt; "-",INDEX(製品仕様マスタ!AY:AY,MATCH(W2Pデータ貼り付け!T94,製品仕様マスタ!B:B,0)),INDEX(製品仕様マスタ!AZ$1:BZ$500,MATCH(W2Pデータ貼り付け!T94,製品仕様マスタ!B:B,0),MATCH(W2Pデータ貼り付け!V94,製品仕様マスタ!AZ$1:BZ$1,0)))),"")</f>
        <v/>
      </c>
      <c r="AL94" s="232" t="str">
        <f t="shared" si="1"/>
        <v/>
      </c>
      <c r="AM94" s="232" t="str">
        <f>IF(AF94&lt;&gt;"",IF(ISNUMBER(T94),COUNT(AM$2:AM93)+1,""),"")</f>
        <v/>
      </c>
      <c r="AN94" s="231"/>
      <c r="AO94" s="231"/>
      <c r="AP94" s="231"/>
      <c r="AQ94" s="231"/>
      <c r="AR94" s="231"/>
      <c r="AS94" s="231"/>
      <c r="AT94" s="231"/>
      <c r="AU94" s="231"/>
      <c r="AV94" s="231"/>
      <c r="AW94" s="231"/>
      <c r="AX94" s="231"/>
      <c r="AY94" s="231"/>
      <c r="AZ94" s="231"/>
      <c r="BA94" s="231"/>
      <c r="BB94" s="231"/>
      <c r="BC94" s="231"/>
      <c r="BD94" s="231"/>
      <c r="BE94" s="231"/>
      <c r="BF94" s="231"/>
      <c r="BG94" s="231"/>
      <c r="BH94" s="231"/>
      <c r="BI94" s="231"/>
      <c r="BJ94" s="231"/>
      <c r="BK94" s="231"/>
      <c r="BL94" s="231"/>
      <c r="BM94" s="231"/>
      <c r="BN94" s="231"/>
      <c r="BO94" s="231"/>
      <c r="BP94" s="231"/>
      <c r="BQ94" s="231"/>
      <c r="BR94" s="231"/>
      <c r="BS94" s="231"/>
      <c r="BT94" s="231"/>
      <c r="BU94" s="231"/>
      <c r="BV94" s="231"/>
      <c r="BW94" s="231"/>
      <c r="BX94" s="231"/>
      <c r="BY94" s="231"/>
      <c r="BZ94" s="231"/>
      <c r="CA94" s="231"/>
      <c r="CB94" s="231"/>
      <c r="CC94" s="231"/>
      <c r="CD94" s="231"/>
      <c r="CE94" s="231"/>
      <c r="CF94" s="231"/>
      <c r="CG94" s="231"/>
      <c r="CH94" s="231"/>
      <c r="CI94" s="231"/>
      <c r="CJ94" s="231"/>
      <c r="CK94" s="231"/>
      <c r="CL94" s="231"/>
      <c r="CM94" s="231"/>
      <c r="CN94" s="231"/>
      <c r="CO94" s="231"/>
      <c r="CP94" s="231"/>
      <c r="CQ94" s="231"/>
      <c r="CR94" s="231"/>
      <c r="CS94" s="231"/>
      <c r="CT94" s="231"/>
      <c r="CU94" s="231"/>
      <c r="CV94" s="231"/>
    </row>
    <row r="95" spans="17:100" ht="14.1" customHeight="1" x14ac:dyDescent="0.15">
      <c r="Q95"/>
      <c r="T95"/>
      <c r="AF95"/>
      <c r="AG95"/>
      <c r="AH95"/>
      <c r="AI95" s="232" t="str">
        <f>_xlfn.IFNA(IF(INDEX(製品仕様マスタ!C:C,MATCH(W2Pデータ貼り付け!T95,製品仕様マスタ!B:B,0))=0,"",INDEX(製品仕様マスタ!C:C,MATCH(W2Pデータ貼り付け!T95,製品仕様マスタ!B:B,0))),"")</f>
        <v/>
      </c>
      <c r="AJ95" s="232" t="str">
        <f>_xlfn.IFNA(IF(INDEX(製品仕様マスタ!AK:AK,MATCH(W2Pデータ貼り付け!T95,製品仕様マスタ!B:B,0))=0,"",INDEX(製品仕様マスタ!AK:AK,MATCH(W2Pデータ貼り付け!T95,製品仕様マスタ!B:B,0))),"")</f>
        <v/>
      </c>
      <c r="AK95" s="233" t="str">
        <f>_xlfn.IFNA(IF(INDEX(製品仕様マスタ!AY:AY,MATCH(W2Pデータ貼り付け!T95,製品仕様マスタ!B:B,0))=0,"",IF(INDEX(製品仕様マスタ!AY:AY,MATCH(W2Pデータ貼り付け!T95,製品仕様マスタ!B:B,0)) &lt;&gt; "-",INDEX(製品仕様マスタ!AY:AY,MATCH(W2Pデータ貼り付け!T95,製品仕様マスタ!B:B,0)),INDEX(製品仕様マスタ!AZ$1:BZ$500,MATCH(W2Pデータ貼り付け!T95,製品仕様マスタ!B:B,0),MATCH(W2Pデータ貼り付け!V95,製品仕様マスタ!AZ$1:BZ$1,0)))),"")</f>
        <v/>
      </c>
      <c r="AL95" s="232" t="str">
        <f t="shared" si="1"/>
        <v/>
      </c>
      <c r="AM95" s="232" t="str">
        <f>IF(AF95&lt;&gt;"",IF(ISNUMBER(T95),COUNT(AM$2:AM94)+1,""),"")</f>
        <v/>
      </c>
      <c r="AN95" s="231"/>
      <c r="AO95" s="231"/>
      <c r="AP95" s="231"/>
      <c r="AQ95" s="231"/>
      <c r="AR95" s="231"/>
      <c r="AS95" s="231"/>
      <c r="AT95" s="231"/>
      <c r="AU95" s="231"/>
      <c r="AV95" s="231"/>
      <c r="AW95" s="231"/>
      <c r="AX95" s="231"/>
      <c r="AY95" s="231"/>
      <c r="AZ95" s="231"/>
      <c r="BA95" s="231"/>
      <c r="BB95" s="231"/>
      <c r="BC95" s="231"/>
      <c r="BD95" s="231"/>
      <c r="BE95" s="231"/>
      <c r="BF95" s="231"/>
      <c r="BG95" s="231"/>
      <c r="BH95" s="231"/>
      <c r="BI95" s="231"/>
      <c r="BJ95" s="231"/>
      <c r="BK95" s="231"/>
      <c r="BL95" s="231"/>
      <c r="BM95" s="231"/>
      <c r="BN95" s="231"/>
      <c r="BO95" s="231"/>
      <c r="BP95" s="231"/>
      <c r="BQ95" s="231"/>
      <c r="BR95" s="231"/>
      <c r="BS95" s="231"/>
      <c r="BT95" s="231"/>
      <c r="BU95" s="231"/>
      <c r="BV95" s="231"/>
      <c r="BW95" s="231"/>
      <c r="BX95" s="231"/>
      <c r="BY95" s="231"/>
      <c r="BZ95" s="231"/>
      <c r="CA95" s="231"/>
      <c r="CB95" s="231"/>
      <c r="CC95" s="231"/>
      <c r="CD95" s="231"/>
      <c r="CE95" s="231"/>
      <c r="CF95" s="231"/>
      <c r="CG95" s="231"/>
      <c r="CH95" s="231"/>
      <c r="CI95" s="231"/>
      <c r="CJ95" s="231"/>
      <c r="CK95" s="231"/>
      <c r="CL95" s="231"/>
      <c r="CM95" s="231"/>
      <c r="CN95" s="231"/>
      <c r="CO95" s="231"/>
      <c r="CP95" s="231"/>
      <c r="CQ95" s="231"/>
      <c r="CR95" s="231"/>
      <c r="CS95" s="231"/>
      <c r="CT95" s="231"/>
      <c r="CU95" s="231"/>
      <c r="CV95" s="231"/>
    </row>
    <row r="96" spans="17:100" ht="14.1" customHeight="1" x14ac:dyDescent="0.15">
      <c r="Q96"/>
      <c r="T96"/>
      <c r="AF96"/>
      <c r="AG96"/>
      <c r="AH96"/>
      <c r="AI96" s="232" t="str">
        <f>_xlfn.IFNA(IF(INDEX(製品仕様マスタ!C:C,MATCH(W2Pデータ貼り付け!T96,製品仕様マスタ!B:B,0))=0,"",INDEX(製品仕様マスタ!C:C,MATCH(W2Pデータ貼り付け!T96,製品仕様マスタ!B:B,0))),"")</f>
        <v/>
      </c>
      <c r="AJ96" s="232" t="str">
        <f>_xlfn.IFNA(IF(INDEX(製品仕様マスタ!AK:AK,MATCH(W2Pデータ貼り付け!T96,製品仕様マスタ!B:B,0))=0,"",INDEX(製品仕様マスタ!AK:AK,MATCH(W2Pデータ貼り付け!T96,製品仕様マスタ!B:B,0))),"")</f>
        <v/>
      </c>
      <c r="AK96" s="233" t="str">
        <f>_xlfn.IFNA(IF(INDEX(製品仕様マスタ!AY:AY,MATCH(W2Pデータ貼り付け!T96,製品仕様マスタ!B:B,0))=0,"",IF(INDEX(製品仕様マスタ!AY:AY,MATCH(W2Pデータ貼り付け!T96,製品仕様マスタ!B:B,0)) &lt;&gt; "-",INDEX(製品仕様マスタ!AY:AY,MATCH(W2Pデータ貼り付け!T96,製品仕様マスタ!B:B,0)),INDEX(製品仕様マスタ!AZ$1:BZ$500,MATCH(W2Pデータ貼り付け!T96,製品仕様マスタ!B:B,0),MATCH(W2Pデータ貼り付け!V96,製品仕様マスタ!AZ$1:BZ$1,0)))),"")</f>
        <v/>
      </c>
      <c r="AL96" s="232" t="str">
        <f t="shared" si="1"/>
        <v/>
      </c>
      <c r="AM96" s="232" t="str">
        <f>IF(AF96&lt;&gt;"",IF(ISNUMBER(T96),COUNT(AM$2:AM95)+1,""),"")</f>
        <v/>
      </c>
      <c r="AN96" s="231"/>
      <c r="AO96" s="231"/>
      <c r="AP96" s="231"/>
      <c r="AQ96" s="231"/>
      <c r="AR96" s="231"/>
      <c r="AS96" s="231"/>
      <c r="AT96" s="231"/>
      <c r="AU96" s="231"/>
      <c r="AV96" s="231"/>
      <c r="AW96" s="231"/>
      <c r="AX96" s="231"/>
      <c r="AY96" s="231"/>
      <c r="AZ96" s="231"/>
      <c r="BA96" s="231"/>
      <c r="BB96" s="231"/>
      <c r="BC96" s="231"/>
      <c r="BD96" s="231"/>
      <c r="BE96" s="231"/>
      <c r="BF96" s="231"/>
      <c r="BG96" s="231"/>
      <c r="BH96" s="231"/>
      <c r="BI96" s="231"/>
      <c r="BJ96" s="231"/>
      <c r="BK96" s="231"/>
      <c r="BL96" s="231"/>
      <c r="BM96" s="231"/>
      <c r="BN96" s="231"/>
      <c r="BO96" s="231"/>
      <c r="BP96" s="231"/>
      <c r="BQ96" s="231"/>
      <c r="BR96" s="231"/>
      <c r="BS96" s="231"/>
      <c r="BT96" s="231"/>
      <c r="BU96" s="231"/>
      <c r="BV96" s="231"/>
      <c r="BW96" s="231"/>
      <c r="BX96" s="231"/>
      <c r="BY96" s="231"/>
      <c r="BZ96" s="231"/>
      <c r="CA96" s="231"/>
      <c r="CB96" s="231"/>
      <c r="CC96" s="231"/>
      <c r="CD96" s="231"/>
      <c r="CE96" s="231"/>
      <c r="CF96" s="231"/>
      <c r="CG96" s="231"/>
      <c r="CH96" s="231"/>
      <c r="CI96" s="231"/>
      <c r="CJ96" s="231"/>
      <c r="CK96" s="231"/>
      <c r="CL96" s="231"/>
      <c r="CM96" s="231"/>
      <c r="CN96" s="231"/>
      <c r="CO96" s="231"/>
      <c r="CP96" s="231"/>
      <c r="CQ96" s="231"/>
      <c r="CR96" s="231"/>
      <c r="CS96" s="231"/>
      <c r="CT96" s="231"/>
      <c r="CU96" s="231"/>
      <c r="CV96" s="231"/>
    </row>
    <row r="97" spans="17:100" ht="14.1" customHeight="1" x14ac:dyDescent="0.15">
      <c r="Q97"/>
      <c r="T97"/>
      <c r="AF97"/>
      <c r="AG97"/>
      <c r="AH97"/>
      <c r="AI97" s="232" t="str">
        <f>_xlfn.IFNA(IF(INDEX(製品仕様マスタ!C:C,MATCH(W2Pデータ貼り付け!T97,製品仕様マスタ!B:B,0))=0,"",INDEX(製品仕様マスタ!C:C,MATCH(W2Pデータ貼り付け!T97,製品仕様マスタ!B:B,0))),"")</f>
        <v/>
      </c>
      <c r="AJ97" s="232" t="str">
        <f>_xlfn.IFNA(IF(INDEX(製品仕様マスタ!AK:AK,MATCH(W2Pデータ貼り付け!T97,製品仕様マスタ!B:B,0))=0,"",INDEX(製品仕様マスタ!AK:AK,MATCH(W2Pデータ貼り付け!T97,製品仕様マスタ!B:B,0))),"")</f>
        <v/>
      </c>
      <c r="AK97" s="233" t="str">
        <f>_xlfn.IFNA(IF(INDEX(製品仕様マスタ!AY:AY,MATCH(W2Pデータ貼り付け!T97,製品仕様マスタ!B:B,0))=0,"",IF(INDEX(製品仕様マスタ!AY:AY,MATCH(W2Pデータ貼り付け!T97,製品仕様マスタ!B:B,0)) &lt;&gt; "-",INDEX(製品仕様マスタ!AY:AY,MATCH(W2Pデータ貼り付け!T97,製品仕様マスタ!B:B,0)),INDEX(製品仕様マスタ!AZ$1:BZ$500,MATCH(W2Pデータ貼り付け!T97,製品仕様マスタ!B:B,0),MATCH(W2Pデータ貼り付け!V97,製品仕様マスタ!AZ$1:BZ$1,0)))),"")</f>
        <v/>
      </c>
      <c r="AL97" s="232" t="str">
        <f t="shared" si="1"/>
        <v/>
      </c>
      <c r="AM97" s="232" t="str">
        <f>IF(AF97&lt;&gt;"",IF(ISNUMBER(T97),COUNT(AM$2:AM96)+1,""),"")</f>
        <v/>
      </c>
      <c r="AN97" s="231"/>
      <c r="AO97" s="231"/>
      <c r="AP97" s="231"/>
      <c r="AQ97" s="231"/>
      <c r="AR97" s="231"/>
      <c r="AS97" s="231"/>
      <c r="AT97" s="231"/>
      <c r="AU97" s="231"/>
      <c r="AV97" s="231"/>
      <c r="AW97" s="231"/>
      <c r="AX97" s="231"/>
      <c r="AY97" s="231"/>
      <c r="AZ97" s="231"/>
      <c r="BA97" s="231"/>
      <c r="BB97" s="231"/>
      <c r="BC97" s="231"/>
      <c r="BD97" s="231"/>
      <c r="BE97" s="231"/>
      <c r="BF97" s="231"/>
      <c r="BG97" s="231"/>
      <c r="BH97" s="231"/>
      <c r="BI97" s="231"/>
      <c r="BJ97" s="231"/>
      <c r="BK97" s="231"/>
      <c r="BL97" s="231"/>
      <c r="BM97" s="231"/>
      <c r="BN97" s="231"/>
      <c r="BO97" s="231"/>
      <c r="BP97" s="231"/>
      <c r="BQ97" s="231"/>
      <c r="BR97" s="231"/>
      <c r="BS97" s="231"/>
      <c r="BT97" s="231"/>
      <c r="BU97" s="231"/>
      <c r="BV97" s="231"/>
      <c r="BW97" s="231"/>
      <c r="BX97" s="231"/>
      <c r="BY97" s="231"/>
      <c r="BZ97" s="231"/>
      <c r="CA97" s="231"/>
      <c r="CB97" s="231"/>
      <c r="CC97" s="231"/>
      <c r="CD97" s="231"/>
      <c r="CE97" s="231"/>
      <c r="CF97" s="231"/>
      <c r="CG97" s="231"/>
      <c r="CH97" s="231"/>
      <c r="CI97" s="231"/>
      <c r="CJ97" s="231"/>
      <c r="CK97" s="231"/>
      <c r="CL97" s="231"/>
      <c r="CM97" s="231"/>
      <c r="CN97" s="231"/>
      <c r="CO97" s="231"/>
      <c r="CP97" s="231"/>
      <c r="CQ97" s="231"/>
      <c r="CR97" s="231"/>
      <c r="CS97" s="231"/>
      <c r="CT97" s="231"/>
      <c r="CU97" s="231"/>
      <c r="CV97" s="231"/>
    </row>
    <row r="98" spans="17:100" ht="14.1" customHeight="1" x14ac:dyDescent="0.15">
      <c r="Q98"/>
      <c r="T98"/>
      <c r="AF98"/>
      <c r="AG98"/>
      <c r="AH98"/>
      <c r="AI98" s="232" t="str">
        <f>_xlfn.IFNA(IF(INDEX(製品仕様マスタ!C:C,MATCH(W2Pデータ貼り付け!T98,製品仕様マスタ!B:B,0))=0,"",INDEX(製品仕様マスタ!C:C,MATCH(W2Pデータ貼り付け!T98,製品仕様マスタ!B:B,0))),"")</f>
        <v/>
      </c>
      <c r="AJ98" s="232" t="str">
        <f>_xlfn.IFNA(IF(INDEX(製品仕様マスタ!AK:AK,MATCH(W2Pデータ貼り付け!T98,製品仕様マスタ!B:B,0))=0,"",INDEX(製品仕様マスタ!AK:AK,MATCH(W2Pデータ貼り付け!T98,製品仕様マスタ!B:B,0))),"")</f>
        <v/>
      </c>
      <c r="AK98" s="233" t="str">
        <f>_xlfn.IFNA(IF(INDEX(製品仕様マスタ!AY:AY,MATCH(W2Pデータ貼り付け!T98,製品仕様マスタ!B:B,0))=0,"",IF(INDEX(製品仕様マスタ!AY:AY,MATCH(W2Pデータ貼り付け!T98,製品仕様マスタ!B:B,0)) &lt;&gt; "-",INDEX(製品仕様マスタ!AY:AY,MATCH(W2Pデータ貼り付け!T98,製品仕様マスタ!B:B,0)),INDEX(製品仕様マスタ!AZ$1:BZ$500,MATCH(W2Pデータ貼り付け!T98,製品仕様マスタ!B:B,0),MATCH(W2Pデータ貼り付け!V98,製品仕様マスタ!AZ$1:BZ$1,0)))),"")</f>
        <v/>
      </c>
      <c r="AL98" s="232" t="str">
        <f t="shared" si="1"/>
        <v/>
      </c>
      <c r="AM98" s="232" t="str">
        <f>IF(AF98&lt;&gt;"",IF(ISNUMBER(T98),COUNT(AM$2:AM97)+1,""),"")</f>
        <v/>
      </c>
      <c r="AN98" s="231"/>
      <c r="AO98" s="231"/>
      <c r="AP98" s="231"/>
      <c r="AQ98" s="231"/>
      <c r="AR98" s="231"/>
      <c r="AS98" s="231"/>
      <c r="AT98" s="231"/>
      <c r="AU98" s="231"/>
      <c r="AV98" s="231"/>
      <c r="AW98" s="231"/>
      <c r="AX98" s="231"/>
      <c r="AY98" s="231"/>
      <c r="AZ98" s="231"/>
      <c r="BA98" s="231"/>
      <c r="BB98" s="231"/>
      <c r="BC98" s="231"/>
      <c r="BD98" s="231"/>
      <c r="BE98" s="231"/>
      <c r="BF98" s="231"/>
      <c r="BG98" s="231"/>
      <c r="BH98" s="231"/>
      <c r="BI98" s="231"/>
      <c r="BJ98" s="231"/>
      <c r="BK98" s="231"/>
      <c r="BL98" s="231"/>
      <c r="BM98" s="231"/>
      <c r="BN98" s="231"/>
      <c r="BO98" s="231"/>
      <c r="BP98" s="231"/>
      <c r="BQ98" s="231"/>
      <c r="BR98" s="231"/>
      <c r="BS98" s="231"/>
      <c r="BT98" s="231"/>
      <c r="BU98" s="231"/>
      <c r="BV98" s="231"/>
      <c r="BW98" s="231"/>
      <c r="BX98" s="231"/>
      <c r="BY98" s="231"/>
      <c r="BZ98" s="231"/>
      <c r="CA98" s="231"/>
      <c r="CB98" s="231"/>
      <c r="CC98" s="231"/>
      <c r="CD98" s="231"/>
      <c r="CE98" s="231"/>
      <c r="CF98" s="231"/>
      <c r="CG98" s="231"/>
      <c r="CH98" s="231"/>
      <c r="CI98" s="231"/>
      <c r="CJ98" s="231"/>
      <c r="CK98" s="231"/>
      <c r="CL98" s="231"/>
      <c r="CM98" s="231"/>
      <c r="CN98" s="231"/>
      <c r="CO98" s="231"/>
      <c r="CP98" s="231"/>
      <c r="CQ98" s="231"/>
      <c r="CR98" s="231"/>
      <c r="CS98" s="231"/>
      <c r="CT98" s="231"/>
      <c r="CU98" s="231"/>
      <c r="CV98" s="231"/>
    </row>
    <row r="99" spans="17:100" ht="14.1" customHeight="1" x14ac:dyDescent="0.15">
      <c r="Q99"/>
      <c r="T99"/>
      <c r="AF99"/>
      <c r="AG99"/>
      <c r="AH99"/>
      <c r="AI99" s="232" t="str">
        <f>_xlfn.IFNA(IF(INDEX(製品仕様マスタ!C:C,MATCH(W2Pデータ貼り付け!T99,製品仕様マスタ!B:B,0))=0,"",INDEX(製品仕様マスタ!C:C,MATCH(W2Pデータ貼り付け!T99,製品仕様マスタ!B:B,0))),"")</f>
        <v/>
      </c>
      <c r="AJ99" s="232" t="str">
        <f>_xlfn.IFNA(IF(INDEX(製品仕様マスタ!AK:AK,MATCH(W2Pデータ貼り付け!T99,製品仕様マスタ!B:B,0))=0,"",INDEX(製品仕様マスタ!AK:AK,MATCH(W2Pデータ貼り付け!T99,製品仕様マスタ!B:B,0))),"")</f>
        <v/>
      </c>
      <c r="AK99" s="233" t="str">
        <f>_xlfn.IFNA(IF(INDEX(製品仕様マスタ!AY:AY,MATCH(W2Pデータ貼り付け!T99,製品仕様マスタ!B:B,0))=0,"",IF(INDEX(製品仕様マスタ!AY:AY,MATCH(W2Pデータ貼り付け!T99,製品仕様マスタ!B:B,0)) &lt;&gt; "-",INDEX(製品仕様マスタ!AY:AY,MATCH(W2Pデータ貼り付け!T99,製品仕様マスタ!B:B,0)),INDEX(製品仕様マスタ!AZ$1:BZ$500,MATCH(W2Pデータ貼り付け!T99,製品仕様マスタ!B:B,0),MATCH(W2Pデータ貼り付け!V99,製品仕様マスタ!AZ$1:BZ$1,0)))),"")</f>
        <v/>
      </c>
      <c r="AL99" s="232" t="str">
        <f t="shared" si="1"/>
        <v/>
      </c>
      <c r="AM99" s="232" t="str">
        <f>IF(AF99&lt;&gt;"",IF(ISNUMBER(T99),COUNT(AM$2:AM98)+1,""),"")</f>
        <v/>
      </c>
      <c r="AN99" s="231"/>
      <c r="AO99" s="231"/>
      <c r="AP99" s="231"/>
      <c r="AQ99" s="231"/>
      <c r="AR99" s="231"/>
      <c r="AS99" s="231"/>
      <c r="AT99" s="231"/>
      <c r="AU99" s="231"/>
      <c r="AV99" s="231"/>
      <c r="AW99" s="231"/>
      <c r="AX99" s="231"/>
      <c r="AY99" s="231"/>
      <c r="AZ99" s="231"/>
      <c r="BA99" s="231"/>
      <c r="BB99" s="231"/>
      <c r="BC99" s="231"/>
      <c r="BD99" s="231"/>
      <c r="BE99" s="231"/>
      <c r="BF99" s="231"/>
      <c r="BG99" s="231"/>
      <c r="BH99" s="231"/>
      <c r="BI99" s="231"/>
      <c r="BJ99" s="231"/>
      <c r="BK99" s="231"/>
      <c r="BL99" s="231"/>
      <c r="BM99" s="231"/>
      <c r="BN99" s="231"/>
      <c r="BO99" s="231"/>
      <c r="BP99" s="231"/>
      <c r="BQ99" s="231"/>
      <c r="BR99" s="231"/>
      <c r="BS99" s="231"/>
      <c r="BT99" s="231"/>
      <c r="BU99" s="231"/>
      <c r="BV99" s="231"/>
      <c r="BW99" s="231"/>
      <c r="BX99" s="231"/>
      <c r="BY99" s="231"/>
      <c r="BZ99" s="231"/>
      <c r="CA99" s="231"/>
      <c r="CB99" s="231"/>
      <c r="CC99" s="231"/>
      <c r="CD99" s="231"/>
      <c r="CE99" s="231"/>
      <c r="CF99" s="231"/>
      <c r="CG99" s="231"/>
      <c r="CH99" s="231"/>
      <c r="CI99" s="231"/>
      <c r="CJ99" s="231"/>
      <c r="CK99" s="231"/>
      <c r="CL99" s="231"/>
      <c r="CM99" s="231"/>
      <c r="CN99" s="231"/>
      <c r="CO99" s="231"/>
      <c r="CP99" s="231"/>
      <c r="CQ99" s="231"/>
      <c r="CR99" s="231"/>
      <c r="CS99" s="231"/>
      <c r="CT99" s="231"/>
      <c r="CU99" s="231"/>
      <c r="CV99" s="231"/>
    </row>
    <row r="100" spans="17:100" ht="14.1" customHeight="1" x14ac:dyDescent="0.15">
      <c r="Q100"/>
      <c r="T100"/>
      <c r="AF100"/>
      <c r="AG100"/>
      <c r="AH100"/>
      <c r="AI100" s="232" t="str">
        <f>_xlfn.IFNA(IF(INDEX(製品仕様マスタ!C:C,MATCH(W2Pデータ貼り付け!T100,製品仕様マスタ!B:B,0))=0,"",INDEX(製品仕様マスタ!C:C,MATCH(W2Pデータ貼り付け!T100,製品仕様マスタ!B:B,0))),"")</f>
        <v/>
      </c>
      <c r="AJ100" s="232" t="str">
        <f>_xlfn.IFNA(IF(INDEX(製品仕様マスタ!AK:AK,MATCH(W2Pデータ貼り付け!T100,製品仕様マスタ!B:B,0))=0,"",INDEX(製品仕様マスタ!AK:AK,MATCH(W2Pデータ貼り付け!T100,製品仕様マスタ!B:B,0))),"")</f>
        <v/>
      </c>
      <c r="AK100" s="233" t="str">
        <f>_xlfn.IFNA(IF(INDEX(製品仕様マスタ!AY:AY,MATCH(W2Pデータ貼り付け!T100,製品仕様マスタ!B:B,0))=0,"",IF(INDEX(製品仕様マスタ!AY:AY,MATCH(W2Pデータ貼り付け!T100,製品仕様マスタ!B:B,0)) &lt;&gt; "-",INDEX(製品仕様マスタ!AY:AY,MATCH(W2Pデータ貼り付け!T100,製品仕様マスタ!B:B,0)),INDEX(製品仕様マスタ!AZ$1:BZ$500,MATCH(W2Pデータ貼り付け!T100,製品仕様マスタ!B:B,0),MATCH(W2Pデータ貼り付け!V100,製品仕様マスタ!AZ$1:BZ$1,0)))),"")</f>
        <v/>
      </c>
      <c r="AL100" s="232" t="str">
        <f t="shared" si="1"/>
        <v/>
      </c>
      <c r="AM100" s="232" t="str">
        <f>IF(AF100&lt;&gt;"",IF(ISNUMBER(T100),COUNT(AM$2:AM99)+1,""),"")</f>
        <v/>
      </c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31"/>
      <c r="BN100" s="231"/>
      <c r="BO100" s="231"/>
      <c r="BP100" s="231"/>
      <c r="BQ100" s="231"/>
      <c r="BR100" s="231"/>
      <c r="BS100" s="231"/>
      <c r="BT100" s="231"/>
      <c r="BU100" s="231"/>
      <c r="BV100" s="231"/>
      <c r="BW100" s="231"/>
      <c r="BX100" s="231"/>
      <c r="BY100" s="231"/>
      <c r="BZ100" s="231"/>
      <c r="CA100" s="231"/>
      <c r="CB100" s="231"/>
      <c r="CC100" s="231"/>
      <c r="CD100" s="231"/>
      <c r="CE100" s="231"/>
      <c r="CF100" s="231"/>
      <c r="CG100" s="231"/>
      <c r="CH100" s="231"/>
      <c r="CI100" s="231"/>
      <c r="CJ100" s="231"/>
      <c r="CK100" s="231"/>
      <c r="CL100" s="231"/>
      <c r="CM100" s="231"/>
      <c r="CN100" s="231"/>
      <c r="CO100" s="231"/>
      <c r="CP100" s="231"/>
      <c r="CQ100" s="231"/>
      <c r="CR100" s="231"/>
      <c r="CS100" s="231"/>
      <c r="CT100" s="231"/>
      <c r="CU100" s="231"/>
      <c r="CV100" s="231"/>
    </row>
    <row r="101" spans="17:100" ht="14.1" customHeight="1" x14ac:dyDescent="0.15">
      <c r="Q101"/>
      <c r="T101"/>
      <c r="AF101"/>
      <c r="AG101"/>
      <c r="AH101"/>
      <c r="AI101" s="232" t="str">
        <f>_xlfn.IFNA(IF(INDEX(製品仕様マスタ!C:C,MATCH(W2Pデータ貼り付け!T101,製品仕様マスタ!B:B,0))=0,"",INDEX(製品仕様マスタ!C:C,MATCH(W2Pデータ貼り付け!T101,製品仕様マスタ!B:B,0))),"")</f>
        <v/>
      </c>
      <c r="AJ101" s="232" t="str">
        <f>_xlfn.IFNA(IF(INDEX(製品仕様マスタ!AK:AK,MATCH(W2Pデータ貼り付け!T101,製品仕様マスタ!B:B,0))=0,"",INDEX(製品仕様マスタ!AK:AK,MATCH(W2Pデータ貼り付け!T101,製品仕様マスタ!B:B,0))),"")</f>
        <v/>
      </c>
      <c r="AK101" s="233" t="str">
        <f>_xlfn.IFNA(IF(INDEX(製品仕様マスタ!AY:AY,MATCH(W2Pデータ貼り付け!T101,製品仕様マスタ!B:B,0))=0,"",IF(INDEX(製品仕様マスタ!AY:AY,MATCH(W2Pデータ貼り付け!T101,製品仕様マスタ!B:B,0)) &lt;&gt; "-",INDEX(製品仕様マスタ!AY:AY,MATCH(W2Pデータ貼り付け!T101,製品仕様マスタ!B:B,0)),INDEX(製品仕様マスタ!AZ$1:BZ$500,MATCH(W2Pデータ貼り付け!T101,製品仕様マスタ!B:B,0),MATCH(W2Pデータ貼り付け!V101,製品仕様マスタ!AZ$1:BZ$1,0)))),"")</f>
        <v/>
      </c>
      <c r="AL101" s="232" t="str">
        <f t="shared" si="1"/>
        <v/>
      </c>
      <c r="AM101" s="232" t="str">
        <f>IF(AF101&lt;&gt;"",IF(ISNUMBER(T101),COUNT(AM$2:AM100)+1,""),"")</f>
        <v/>
      </c>
      <c r="AN101" s="231"/>
      <c r="AO101" s="231"/>
      <c r="AP101" s="231"/>
      <c r="AQ101" s="231"/>
      <c r="AR101" s="231"/>
      <c r="AS101" s="231"/>
      <c r="AT101" s="231"/>
      <c r="AU101" s="231"/>
      <c r="AV101" s="231"/>
      <c r="AW101" s="231"/>
      <c r="AX101" s="231"/>
      <c r="AY101" s="231"/>
      <c r="AZ101" s="231"/>
      <c r="BA101" s="231"/>
      <c r="BB101" s="231"/>
      <c r="BC101" s="231"/>
      <c r="BD101" s="231"/>
      <c r="BE101" s="231"/>
      <c r="BF101" s="231"/>
      <c r="BG101" s="231"/>
      <c r="BH101" s="231"/>
      <c r="BI101" s="231"/>
      <c r="BJ101" s="231"/>
      <c r="BK101" s="231"/>
      <c r="BL101" s="231"/>
      <c r="BM101" s="231"/>
      <c r="BN101" s="231"/>
      <c r="BO101" s="231"/>
      <c r="BP101" s="231"/>
      <c r="BQ101" s="231"/>
      <c r="BR101" s="231"/>
      <c r="BS101" s="231"/>
      <c r="BT101" s="231"/>
      <c r="BU101" s="231"/>
      <c r="BV101" s="231"/>
      <c r="BW101" s="231"/>
      <c r="BX101" s="231"/>
      <c r="BY101" s="231"/>
      <c r="BZ101" s="231"/>
      <c r="CA101" s="231"/>
      <c r="CB101" s="231"/>
      <c r="CC101" s="231"/>
      <c r="CD101" s="231"/>
      <c r="CE101" s="231"/>
      <c r="CF101" s="231"/>
      <c r="CG101" s="231"/>
      <c r="CH101" s="231"/>
      <c r="CI101" s="231"/>
      <c r="CJ101" s="231"/>
      <c r="CK101" s="231"/>
      <c r="CL101" s="231"/>
      <c r="CM101" s="231"/>
      <c r="CN101" s="231"/>
      <c r="CO101" s="231"/>
      <c r="CP101" s="231"/>
      <c r="CQ101" s="231"/>
      <c r="CR101" s="231"/>
      <c r="CS101" s="231"/>
      <c r="CT101" s="231"/>
      <c r="CU101" s="231"/>
      <c r="CV101" s="231"/>
    </row>
    <row r="102" spans="17:100" ht="14.1" customHeight="1" x14ac:dyDescent="0.15">
      <c r="Q102"/>
      <c r="T102"/>
      <c r="AF102"/>
      <c r="AG102"/>
      <c r="AH102"/>
      <c r="AI102" s="232" t="str">
        <f>_xlfn.IFNA(IF(INDEX(製品仕様マスタ!C:C,MATCH(W2Pデータ貼り付け!T102,製品仕様マスタ!B:B,0))=0,"",INDEX(製品仕様マスタ!C:C,MATCH(W2Pデータ貼り付け!T102,製品仕様マスタ!B:B,0))),"")</f>
        <v/>
      </c>
      <c r="AJ102" s="232" t="str">
        <f>_xlfn.IFNA(IF(INDEX(製品仕様マスタ!AK:AK,MATCH(W2Pデータ貼り付け!T102,製品仕様マスタ!B:B,0))=0,"",INDEX(製品仕様マスタ!AK:AK,MATCH(W2Pデータ貼り付け!T102,製品仕様マスタ!B:B,0))),"")</f>
        <v/>
      </c>
      <c r="AK102" s="233" t="str">
        <f>_xlfn.IFNA(IF(INDEX(製品仕様マスタ!AY:AY,MATCH(W2Pデータ貼り付け!T102,製品仕様マスタ!B:B,0))=0,"",IF(INDEX(製品仕様マスタ!AY:AY,MATCH(W2Pデータ貼り付け!T102,製品仕様マスタ!B:B,0)) &lt;&gt; "-",INDEX(製品仕様マスタ!AY:AY,MATCH(W2Pデータ貼り付け!T102,製品仕様マスタ!B:B,0)),INDEX(製品仕様マスタ!AZ$1:BZ$500,MATCH(W2Pデータ貼り付け!T102,製品仕様マスタ!B:B,0),MATCH(W2Pデータ貼り付け!V102,製品仕様マスタ!AZ$1:BZ$1,0)))),"")</f>
        <v/>
      </c>
      <c r="AL102" s="232" t="str">
        <f t="shared" si="1"/>
        <v/>
      </c>
      <c r="AM102" s="232" t="str">
        <f>IF(AF102&lt;&gt;"",IF(ISNUMBER(T102),COUNT(AM$2:AM101)+1,""),"")</f>
        <v/>
      </c>
      <c r="AN102" s="231"/>
      <c r="AO102" s="231"/>
      <c r="AP102" s="231"/>
      <c r="AQ102" s="231"/>
      <c r="AR102" s="231"/>
      <c r="AS102" s="231"/>
      <c r="AT102" s="231"/>
      <c r="AU102" s="231"/>
      <c r="AV102" s="231"/>
      <c r="AW102" s="231"/>
      <c r="AX102" s="231"/>
      <c r="AY102" s="231"/>
      <c r="AZ102" s="231"/>
      <c r="BA102" s="231"/>
      <c r="BB102" s="231"/>
      <c r="BC102" s="231"/>
      <c r="BD102" s="231"/>
      <c r="BE102" s="231"/>
      <c r="BF102" s="231"/>
      <c r="BG102" s="231"/>
      <c r="BH102" s="231"/>
      <c r="BI102" s="231"/>
      <c r="BJ102" s="231"/>
      <c r="BK102" s="231"/>
      <c r="BL102" s="231"/>
      <c r="BM102" s="231"/>
      <c r="BN102" s="231"/>
      <c r="BO102" s="231"/>
      <c r="BP102" s="231"/>
      <c r="BQ102" s="231"/>
      <c r="BR102" s="231"/>
      <c r="BS102" s="231"/>
      <c r="BT102" s="231"/>
      <c r="BU102" s="231"/>
      <c r="BV102" s="231"/>
      <c r="BW102" s="231"/>
      <c r="BX102" s="231"/>
      <c r="BY102" s="231"/>
      <c r="BZ102" s="231"/>
      <c r="CA102" s="231"/>
      <c r="CB102" s="231"/>
      <c r="CC102" s="231"/>
      <c r="CD102" s="231"/>
      <c r="CE102" s="231"/>
      <c r="CF102" s="231"/>
      <c r="CG102" s="231"/>
      <c r="CH102" s="231"/>
      <c r="CI102" s="231"/>
      <c r="CJ102" s="231"/>
      <c r="CK102" s="231"/>
      <c r="CL102" s="231"/>
      <c r="CM102" s="231"/>
      <c r="CN102" s="231"/>
      <c r="CO102" s="231"/>
      <c r="CP102" s="231"/>
      <c r="CQ102" s="231"/>
      <c r="CR102" s="231"/>
      <c r="CS102" s="231"/>
      <c r="CT102" s="231"/>
      <c r="CU102" s="231"/>
      <c r="CV102" s="231"/>
    </row>
    <row r="103" spans="17:100" ht="14.1" customHeight="1" x14ac:dyDescent="0.15">
      <c r="Q103"/>
      <c r="T103"/>
      <c r="AF103"/>
      <c r="AG103"/>
      <c r="AH103"/>
      <c r="AI103" s="232" t="str">
        <f>_xlfn.IFNA(IF(INDEX(製品仕様マスタ!C:C,MATCH(W2Pデータ貼り付け!T103,製品仕様マスタ!B:B,0))=0,"",INDEX(製品仕様マスタ!C:C,MATCH(W2Pデータ貼り付け!T103,製品仕様マスタ!B:B,0))),"")</f>
        <v/>
      </c>
      <c r="AJ103" s="232" t="str">
        <f>_xlfn.IFNA(IF(INDEX(製品仕様マスタ!AK:AK,MATCH(W2Pデータ貼り付け!T103,製品仕様マスタ!B:B,0))=0,"",INDEX(製品仕様マスタ!AK:AK,MATCH(W2Pデータ貼り付け!T103,製品仕様マスタ!B:B,0))),"")</f>
        <v/>
      </c>
      <c r="AK103" s="233" t="str">
        <f>_xlfn.IFNA(IF(INDEX(製品仕様マスタ!AY:AY,MATCH(W2Pデータ貼り付け!T103,製品仕様マスタ!B:B,0))=0,"",IF(INDEX(製品仕様マスタ!AY:AY,MATCH(W2Pデータ貼り付け!T103,製品仕様マスタ!B:B,0)) &lt;&gt; "-",INDEX(製品仕様マスタ!AY:AY,MATCH(W2Pデータ貼り付け!T103,製品仕様マスタ!B:B,0)),INDEX(製品仕様マスタ!AZ$1:BZ$500,MATCH(W2Pデータ貼り付け!T103,製品仕様マスタ!B:B,0),MATCH(W2Pデータ貼り付け!V103,製品仕様マスタ!AZ$1:BZ$1,0)))),"")</f>
        <v/>
      </c>
      <c r="AL103" s="232" t="str">
        <f t="shared" si="1"/>
        <v/>
      </c>
      <c r="AM103" s="232" t="str">
        <f>IF(AF103&lt;&gt;"",IF(ISNUMBER(T103),COUNT(AM$2:AM102)+1,""),"")</f>
        <v/>
      </c>
      <c r="AN103" s="231"/>
      <c r="AO103" s="231"/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  <c r="BC103" s="231"/>
      <c r="BD103" s="231"/>
      <c r="BE103" s="231"/>
      <c r="BF103" s="231"/>
      <c r="BG103" s="231"/>
      <c r="BH103" s="231"/>
      <c r="BI103" s="231"/>
      <c r="BJ103" s="231"/>
      <c r="BK103" s="231"/>
      <c r="BL103" s="231"/>
      <c r="BM103" s="231"/>
      <c r="BN103" s="231"/>
      <c r="BO103" s="231"/>
      <c r="BP103" s="231"/>
      <c r="BQ103" s="231"/>
      <c r="BR103" s="231"/>
      <c r="BS103" s="231"/>
      <c r="BT103" s="231"/>
      <c r="BU103" s="231"/>
      <c r="BV103" s="231"/>
      <c r="BW103" s="231"/>
      <c r="BX103" s="231"/>
      <c r="BY103" s="231"/>
      <c r="BZ103" s="231"/>
      <c r="CA103" s="231"/>
      <c r="CB103" s="231"/>
      <c r="CC103" s="231"/>
      <c r="CD103" s="231"/>
      <c r="CE103" s="231"/>
      <c r="CF103" s="231"/>
      <c r="CG103" s="231"/>
      <c r="CH103" s="231"/>
      <c r="CI103" s="231"/>
      <c r="CJ103" s="231"/>
      <c r="CK103" s="231"/>
      <c r="CL103" s="231"/>
      <c r="CM103" s="231"/>
      <c r="CN103" s="231"/>
      <c r="CO103" s="231"/>
      <c r="CP103" s="231"/>
      <c r="CQ103" s="231"/>
      <c r="CR103" s="231"/>
      <c r="CS103" s="231"/>
      <c r="CT103" s="231"/>
      <c r="CU103" s="231"/>
      <c r="CV103" s="231"/>
    </row>
    <row r="104" spans="17:100" ht="14.1" customHeight="1" x14ac:dyDescent="0.15">
      <c r="Q104"/>
      <c r="T104"/>
      <c r="AF104"/>
      <c r="AG104"/>
      <c r="AH104"/>
      <c r="AI104" s="232" t="str">
        <f>_xlfn.IFNA(IF(INDEX(製品仕様マスタ!C:C,MATCH(W2Pデータ貼り付け!T104,製品仕様マスタ!B:B,0))=0,"",INDEX(製品仕様マスタ!C:C,MATCH(W2Pデータ貼り付け!T104,製品仕様マスタ!B:B,0))),"")</f>
        <v/>
      </c>
      <c r="AJ104" s="232" t="str">
        <f>_xlfn.IFNA(IF(INDEX(製品仕様マスタ!AK:AK,MATCH(W2Pデータ貼り付け!T104,製品仕様マスタ!B:B,0))=0,"",INDEX(製品仕様マスタ!AK:AK,MATCH(W2Pデータ貼り付け!T104,製品仕様マスタ!B:B,0))),"")</f>
        <v/>
      </c>
      <c r="AK104" s="233" t="str">
        <f>_xlfn.IFNA(IF(INDEX(製品仕様マスタ!AY:AY,MATCH(W2Pデータ貼り付け!T104,製品仕様マスタ!B:B,0))=0,"",IF(INDEX(製品仕様マスタ!AY:AY,MATCH(W2Pデータ貼り付け!T104,製品仕様マスタ!B:B,0)) &lt;&gt; "-",INDEX(製品仕様マスタ!AY:AY,MATCH(W2Pデータ貼り付け!T104,製品仕様マスタ!B:B,0)),INDEX(製品仕様マスタ!AZ$1:BZ$500,MATCH(W2Pデータ貼り付け!T104,製品仕様マスタ!B:B,0),MATCH(W2Pデータ貼り付け!V104,製品仕様マスタ!AZ$1:BZ$1,0)))),"")</f>
        <v/>
      </c>
      <c r="AL104" s="232" t="str">
        <f t="shared" si="1"/>
        <v/>
      </c>
      <c r="AM104" s="232" t="str">
        <f>IF(AF104&lt;&gt;"",IF(ISNUMBER(T104),COUNT(AM$2:AM103)+1,""),"")</f>
        <v/>
      </c>
      <c r="AN104" s="231"/>
      <c r="AO104" s="231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  <c r="BC104" s="231"/>
      <c r="BD104" s="231"/>
      <c r="BE104" s="231"/>
      <c r="BF104" s="231"/>
      <c r="BG104" s="231"/>
      <c r="BH104" s="231"/>
      <c r="BI104" s="231"/>
      <c r="BJ104" s="231"/>
      <c r="BK104" s="231"/>
      <c r="BL104" s="231"/>
      <c r="BM104" s="231"/>
      <c r="BN104" s="231"/>
      <c r="BO104" s="231"/>
      <c r="BP104" s="231"/>
      <c r="BQ104" s="231"/>
      <c r="BR104" s="231"/>
      <c r="BS104" s="231"/>
      <c r="BT104" s="231"/>
      <c r="BU104" s="231"/>
      <c r="BV104" s="231"/>
      <c r="BW104" s="231"/>
      <c r="BX104" s="231"/>
      <c r="BY104" s="231"/>
      <c r="BZ104" s="231"/>
      <c r="CA104" s="231"/>
      <c r="CB104" s="231"/>
      <c r="CC104" s="231"/>
      <c r="CD104" s="231"/>
      <c r="CE104" s="231"/>
      <c r="CF104" s="231"/>
      <c r="CG104" s="231"/>
      <c r="CH104" s="231"/>
      <c r="CI104" s="231"/>
      <c r="CJ104" s="231"/>
      <c r="CK104" s="231"/>
      <c r="CL104" s="231"/>
      <c r="CM104" s="231"/>
      <c r="CN104" s="231"/>
      <c r="CO104" s="231"/>
      <c r="CP104" s="231"/>
      <c r="CQ104" s="231"/>
      <c r="CR104" s="231"/>
      <c r="CS104" s="231"/>
      <c r="CT104" s="231"/>
      <c r="CU104" s="231"/>
      <c r="CV104" s="231"/>
    </row>
    <row r="105" spans="17:100" ht="14.1" customHeight="1" x14ac:dyDescent="0.15">
      <c r="Q105"/>
      <c r="T105"/>
      <c r="AF105"/>
      <c r="AG105"/>
      <c r="AH105"/>
      <c r="AI105" s="232" t="str">
        <f>_xlfn.IFNA(IF(INDEX(製品仕様マスタ!C:C,MATCH(W2Pデータ貼り付け!T105,製品仕様マスタ!B:B,0))=0,"",INDEX(製品仕様マスタ!C:C,MATCH(W2Pデータ貼り付け!T105,製品仕様マスタ!B:B,0))),"")</f>
        <v/>
      </c>
      <c r="AJ105" s="232" t="str">
        <f>_xlfn.IFNA(IF(INDEX(製品仕様マスタ!AK:AK,MATCH(W2Pデータ貼り付け!T105,製品仕様マスタ!B:B,0))=0,"",INDEX(製品仕様マスタ!AK:AK,MATCH(W2Pデータ貼り付け!T105,製品仕様マスタ!B:B,0))),"")</f>
        <v/>
      </c>
      <c r="AK105" s="233" t="str">
        <f>_xlfn.IFNA(IF(INDEX(製品仕様マスタ!AY:AY,MATCH(W2Pデータ貼り付け!T105,製品仕様マスタ!B:B,0))=0,"",IF(INDEX(製品仕様マスタ!AY:AY,MATCH(W2Pデータ貼り付け!T105,製品仕様マスタ!B:B,0)) &lt;&gt; "-",INDEX(製品仕様マスタ!AY:AY,MATCH(W2Pデータ貼り付け!T105,製品仕様マスタ!B:B,0)),INDEX(製品仕様マスタ!AZ$1:BZ$500,MATCH(W2Pデータ貼り付け!T105,製品仕様マスタ!B:B,0),MATCH(W2Pデータ貼り付け!V105,製品仕様マスタ!AZ$1:BZ$1,0)))),"")</f>
        <v/>
      </c>
      <c r="AL105" s="232" t="str">
        <f t="shared" si="1"/>
        <v/>
      </c>
      <c r="AM105" s="232" t="str">
        <f>IF(AF105&lt;&gt;"",IF(ISNUMBER(T105),COUNT(AM$2:AM104)+1,""),"")</f>
        <v/>
      </c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31"/>
      <c r="BN105" s="231"/>
      <c r="BO105" s="231"/>
      <c r="BP105" s="231"/>
      <c r="BQ105" s="231"/>
      <c r="BR105" s="231"/>
      <c r="BS105" s="231"/>
      <c r="BT105" s="231"/>
      <c r="BU105" s="231"/>
      <c r="BV105" s="231"/>
      <c r="BW105" s="231"/>
      <c r="BX105" s="231"/>
      <c r="BY105" s="231"/>
      <c r="BZ105" s="231"/>
      <c r="CA105" s="231"/>
      <c r="CB105" s="231"/>
      <c r="CC105" s="231"/>
      <c r="CD105" s="231"/>
      <c r="CE105" s="231"/>
      <c r="CF105" s="231"/>
      <c r="CG105" s="231"/>
      <c r="CH105" s="231"/>
      <c r="CI105" s="231"/>
      <c r="CJ105" s="231"/>
      <c r="CK105" s="231"/>
      <c r="CL105" s="231"/>
      <c r="CM105" s="231"/>
      <c r="CN105" s="231"/>
      <c r="CO105" s="231"/>
      <c r="CP105" s="231"/>
      <c r="CQ105" s="231"/>
      <c r="CR105" s="231"/>
      <c r="CS105" s="231"/>
      <c r="CT105" s="231"/>
      <c r="CU105" s="231"/>
      <c r="CV105" s="231"/>
    </row>
    <row r="106" spans="17:100" ht="14.1" customHeight="1" x14ac:dyDescent="0.15">
      <c r="Q106"/>
      <c r="T106"/>
      <c r="AF106"/>
      <c r="AG106"/>
      <c r="AH106"/>
      <c r="AI106" s="232" t="str">
        <f>_xlfn.IFNA(IF(INDEX(製品仕様マスタ!C:C,MATCH(W2Pデータ貼り付け!T106,製品仕様マスタ!B:B,0))=0,"",INDEX(製品仕様マスタ!C:C,MATCH(W2Pデータ貼り付け!T106,製品仕様マスタ!B:B,0))),"")</f>
        <v/>
      </c>
      <c r="AJ106" s="232" t="str">
        <f>_xlfn.IFNA(IF(INDEX(製品仕様マスタ!AK:AK,MATCH(W2Pデータ貼り付け!T106,製品仕様マスタ!B:B,0))=0,"",INDEX(製品仕様マスタ!AK:AK,MATCH(W2Pデータ貼り付け!T106,製品仕様マスタ!B:B,0))),"")</f>
        <v/>
      </c>
      <c r="AK106" s="233" t="str">
        <f>_xlfn.IFNA(IF(INDEX(製品仕様マスタ!AY:AY,MATCH(W2Pデータ貼り付け!T106,製品仕様マスタ!B:B,0))=0,"",IF(INDEX(製品仕様マスタ!AY:AY,MATCH(W2Pデータ貼り付け!T106,製品仕様マスタ!B:B,0)) &lt;&gt; "-",INDEX(製品仕様マスタ!AY:AY,MATCH(W2Pデータ貼り付け!T106,製品仕様マスタ!B:B,0)),INDEX(製品仕様マスタ!AZ$1:BZ$500,MATCH(W2Pデータ貼り付け!T106,製品仕様マスタ!B:B,0),MATCH(W2Pデータ貼り付け!V106,製品仕様マスタ!AZ$1:BZ$1,0)))),"")</f>
        <v/>
      </c>
      <c r="AL106" s="232" t="str">
        <f t="shared" si="1"/>
        <v/>
      </c>
      <c r="AM106" s="232" t="str">
        <f>IF(AF106&lt;&gt;"",IF(ISNUMBER(T106),COUNT(AM$2:AM105)+1,""),"")</f>
        <v/>
      </c>
      <c r="AN106" s="231"/>
      <c r="AO106" s="231"/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  <c r="BC106" s="231"/>
      <c r="BD106" s="231"/>
      <c r="BE106" s="231"/>
      <c r="BF106" s="231"/>
      <c r="BG106" s="231"/>
      <c r="BH106" s="231"/>
      <c r="BI106" s="231"/>
      <c r="BJ106" s="231"/>
      <c r="BK106" s="231"/>
      <c r="BL106" s="231"/>
      <c r="BM106" s="231"/>
      <c r="BN106" s="231"/>
      <c r="BO106" s="231"/>
      <c r="BP106" s="231"/>
      <c r="BQ106" s="231"/>
      <c r="BR106" s="231"/>
      <c r="BS106" s="231"/>
      <c r="BT106" s="231"/>
      <c r="BU106" s="231"/>
      <c r="BV106" s="231"/>
      <c r="BW106" s="231"/>
      <c r="BX106" s="231"/>
      <c r="BY106" s="231"/>
      <c r="BZ106" s="231"/>
      <c r="CA106" s="231"/>
      <c r="CB106" s="231"/>
      <c r="CC106" s="231"/>
      <c r="CD106" s="231"/>
      <c r="CE106" s="231"/>
      <c r="CF106" s="231"/>
      <c r="CG106" s="231"/>
      <c r="CH106" s="231"/>
      <c r="CI106" s="231"/>
      <c r="CJ106" s="231"/>
      <c r="CK106" s="231"/>
      <c r="CL106" s="231"/>
      <c r="CM106" s="231"/>
      <c r="CN106" s="231"/>
      <c r="CO106" s="231"/>
      <c r="CP106" s="231"/>
      <c r="CQ106" s="231"/>
      <c r="CR106" s="231"/>
      <c r="CS106" s="231"/>
      <c r="CT106" s="231"/>
      <c r="CU106" s="231"/>
      <c r="CV106" s="231"/>
    </row>
    <row r="107" spans="17:100" ht="14.1" customHeight="1" x14ac:dyDescent="0.15">
      <c r="AI107" s="15" t="str">
        <f>_xlfn.IFNA(IF(INDEX(製品仕様マスタ!C:C,MATCH(W2Pデータ貼り付け!T107,製品仕様マスタ!B:B,0))=0,"",INDEX(製品仕様マスタ!C:C,MATCH(W2Pデータ貼り付け!T107,製品仕様マスタ!B:B,0))),"")</f>
        <v/>
      </c>
      <c r="AJ107" s="15" t="str">
        <f>_xlfn.IFNA(IF(INDEX(製品仕様マスタ!AK:AK,MATCH(W2Pデータ貼り付け!T107,製品仕様マスタ!B:B,0))=0,"",INDEX(製品仕様マスタ!AK:AK,MATCH(W2Pデータ貼り付け!T107,製品仕様マスタ!B:B,0))),"")</f>
        <v/>
      </c>
      <c r="AK107" s="198" t="str">
        <f>_xlfn.IFNA(IF(INDEX(製品仕様マスタ!AY:AY,MATCH(W2Pデータ貼り付け!T107,製品仕様マスタ!B:B,0))=0,"",IF(INDEX(製品仕様マスタ!AY:AY,MATCH(W2Pデータ貼り付け!T107,製品仕様マスタ!B:B,0)) &lt;&gt; "-",INDEX(製品仕様マスタ!AY:AY,MATCH(W2Pデータ貼り付け!T107,製品仕様マスタ!B:B,0)),INDEX(製品仕様マスタ!AZ$1:BZ$500,MATCH(W2Pデータ貼り付け!T107,製品仕様マスタ!B:B,0),MATCH(W2Pデータ貼り付け!V107,製品仕様マスタ!AZ$1:BZ$1,0)))),"")</f>
        <v/>
      </c>
      <c r="AL107" s="15" t="str">
        <f t="shared" si="1"/>
        <v/>
      </c>
      <c r="AM107" s="15" t="str">
        <f>IF(AF107&lt;&gt;"",IF(ISNUMBER(T107),COUNT(AM$2:AM106)+1,""),"")</f>
        <v/>
      </c>
    </row>
    <row r="108" spans="17:100" ht="14.1" customHeight="1" x14ac:dyDescent="0.15">
      <c r="AI108" s="15" t="str">
        <f>_xlfn.IFNA(IF(INDEX(製品仕様マスタ!C:C,MATCH(W2Pデータ貼り付け!T108,製品仕様マスタ!B:B,0))=0,"",INDEX(製品仕様マスタ!C:C,MATCH(W2Pデータ貼り付け!T108,製品仕様マスタ!B:B,0))),"")</f>
        <v/>
      </c>
      <c r="AJ108" s="15" t="str">
        <f>_xlfn.IFNA(IF(INDEX(製品仕様マスタ!AK:AK,MATCH(W2Pデータ貼り付け!T108,製品仕様マスタ!B:B,0))=0,"",INDEX(製品仕様マスタ!AK:AK,MATCH(W2Pデータ貼り付け!T108,製品仕様マスタ!B:B,0))),"")</f>
        <v/>
      </c>
      <c r="AK108" s="198" t="str">
        <f>_xlfn.IFNA(IF(INDEX(製品仕様マスタ!AY:AY,MATCH(W2Pデータ貼り付け!T108,製品仕様マスタ!B:B,0))=0,"",IF(INDEX(製品仕様マスタ!AY:AY,MATCH(W2Pデータ貼り付け!T108,製品仕様マスタ!B:B,0)) &lt;&gt; "-",INDEX(製品仕様マスタ!AY:AY,MATCH(W2Pデータ貼り付け!T108,製品仕様マスタ!B:B,0)),INDEX(製品仕様マスタ!AZ$1:BZ$500,MATCH(W2Pデータ貼り付け!T108,製品仕様マスタ!B:B,0),MATCH(W2Pデータ貼り付け!V108,製品仕様マスタ!AZ$1:BZ$1,0)))),"")</f>
        <v/>
      </c>
      <c r="AL108" s="15" t="str">
        <f t="shared" si="1"/>
        <v/>
      </c>
      <c r="AM108" s="15" t="str">
        <f>IF(AF108&lt;&gt;"",IF(ISNUMBER(T108),COUNT(AM$2:AM107)+1,""),"")</f>
        <v/>
      </c>
    </row>
    <row r="109" spans="17:100" ht="14.1" customHeight="1" x14ac:dyDescent="0.15">
      <c r="AI109" s="15" t="str">
        <f>_xlfn.IFNA(IF(INDEX(製品仕様マスタ!C:C,MATCH(W2Pデータ貼り付け!T109,製品仕様マスタ!B:B,0))=0,"",INDEX(製品仕様マスタ!C:C,MATCH(W2Pデータ貼り付け!T109,製品仕様マスタ!B:B,0))),"")</f>
        <v/>
      </c>
      <c r="AJ109" s="15" t="str">
        <f>_xlfn.IFNA(IF(INDEX(製品仕様マスタ!AK:AK,MATCH(W2Pデータ貼り付け!T109,製品仕様マスタ!B:B,0))=0,"",INDEX(製品仕様マスタ!AK:AK,MATCH(W2Pデータ貼り付け!T109,製品仕様マスタ!B:B,0))),"")</f>
        <v/>
      </c>
      <c r="AK109" s="198" t="str">
        <f>_xlfn.IFNA(IF(INDEX(製品仕様マスタ!AY:AY,MATCH(W2Pデータ貼り付け!T109,製品仕様マスタ!B:B,0))=0,"",IF(INDEX(製品仕様マスタ!AY:AY,MATCH(W2Pデータ貼り付け!T109,製品仕様マスタ!B:B,0)) &lt;&gt; "-",INDEX(製品仕様マスタ!AY:AY,MATCH(W2Pデータ貼り付け!T109,製品仕様マスタ!B:B,0)),INDEX(製品仕様マスタ!AZ$1:BZ$500,MATCH(W2Pデータ貼り付け!T109,製品仕様マスタ!B:B,0),MATCH(W2Pデータ貼り付け!V109,製品仕様マスタ!AZ$1:BZ$1,0)))),"")</f>
        <v/>
      </c>
      <c r="AL109" s="15" t="str">
        <f t="shared" si="1"/>
        <v/>
      </c>
      <c r="AM109" s="15" t="str">
        <f>IF(AF109&lt;&gt;"",IF(ISNUMBER(T109),COUNT(AM$2:AM108)+1,""),"")</f>
        <v/>
      </c>
    </row>
    <row r="110" spans="17:100" ht="14.1" customHeight="1" x14ac:dyDescent="0.15">
      <c r="AI110" s="15" t="str">
        <f>_xlfn.IFNA(IF(INDEX(製品仕様マスタ!C:C,MATCH(W2Pデータ貼り付け!T110,製品仕様マスタ!B:B,0))=0,"",INDEX(製品仕様マスタ!C:C,MATCH(W2Pデータ貼り付け!T110,製品仕様マスタ!B:B,0))),"")</f>
        <v/>
      </c>
      <c r="AJ110" s="15" t="str">
        <f>_xlfn.IFNA(IF(INDEX(製品仕様マスタ!AK:AK,MATCH(W2Pデータ貼り付け!T110,製品仕様マスタ!B:B,0))=0,"",INDEX(製品仕様マスタ!AK:AK,MATCH(W2Pデータ貼り付け!T110,製品仕様マスタ!B:B,0))),"")</f>
        <v/>
      </c>
      <c r="AK110" s="198" t="str">
        <f>_xlfn.IFNA(IF(INDEX(製品仕様マスタ!AY:AY,MATCH(W2Pデータ貼り付け!T110,製品仕様マスタ!B:B,0))=0,"",IF(INDEX(製品仕様マスタ!AY:AY,MATCH(W2Pデータ貼り付け!T110,製品仕様マスタ!B:B,0)) &lt;&gt; "-",INDEX(製品仕様マスタ!AY:AY,MATCH(W2Pデータ貼り付け!T110,製品仕様マスタ!B:B,0)),INDEX(製品仕様マスタ!AZ$1:BZ$500,MATCH(W2Pデータ貼り付け!T110,製品仕様マスタ!B:B,0),MATCH(W2Pデータ貼り付け!V110,製品仕様マスタ!AZ$1:BZ$1,0)))),"")</f>
        <v/>
      </c>
      <c r="AL110" s="15" t="str">
        <f t="shared" si="1"/>
        <v/>
      </c>
      <c r="AM110" s="15" t="str">
        <f>IF(AF110&lt;&gt;"",IF(ISNUMBER(T110),COUNT(AM$2:AM109)+1,""),"")</f>
        <v/>
      </c>
    </row>
    <row r="111" spans="17:100" ht="14.1" customHeight="1" x14ac:dyDescent="0.15">
      <c r="AI111" s="15" t="str">
        <f>_xlfn.IFNA(IF(INDEX(製品仕様マスタ!C:C,MATCH(W2Pデータ貼り付け!T111,製品仕様マスタ!B:B,0))=0,"",INDEX(製品仕様マスタ!C:C,MATCH(W2Pデータ貼り付け!T111,製品仕様マスタ!B:B,0))),"")</f>
        <v/>
      </c>
      <c r="AJ111" s="15" t="str">
        <f>_xlfn.IFNA(IF(INDEX(製品仕様マスタ!AK:AK,MATCH(W2Pデータ貼り付け!T111,製品仕様マスタ!B:B,0))=0,"",INDEX(製品仕様マスタ!AK:AK,MATCH(W2Pデータ貼り付け!T111,製品仕様マスタ!B:B,0))),"")</f>
        <v/>
      </c>
      <c r="AK111" s="198" t="str">
        <f>_xlfn.IFNA(IF(INDEX(製品仕様マスタ!AY:AY,MATCH(W2Pデータ貼り付け!T111,製品仕様マスタ!B:B,0))=0,"",IF(INDEX(製品仕様マスタ!AY:AY,MATCH(W2Pデータ貼り付け!T111,製品仕様マスタ!B:B,0)) &lt;&gt; "-",INDEX(製品仕様マスタ!AY:AY,MATCH(W2Pデータ貼り付け!T111,製品仕様マスタ!B:B,0)),INDEX(製品仕様マスタ!AZ$1:BZ$500,MATCH(W2Pデータ貼り付け!T111,製品仕様マスタ!B:B,0),MATCH(W2Pデータ貼り付け!V111,製品仕様マスタ!AZ$1:BZ$1,0)))),"")</f>
        <v/>
      </c>
      <c r="AL111" s="15" t="str">
        <f t="shared" si="1"/>
        <v/>
      </c>
      <c r="AM111" s="15" t="str">
        <f>IF(AF111&lt;&gt;"",IF(ISNUMBER(T111),COUNT(AM$2:AM110)+1,""),"")</f>
        <v/>
      </c>
    </row>
    <row r="112" spans="17:100" ht="14.1" customHeight="1" x14ac:dyDescent="0.15">
      <c r="AI112" s="15" t="str">
        <f>_xlfn.IFNA(IF(INDEX(製品仕様マスタ!C:C,MATCH(W2Pデータ貼り付け!T112,製品仕様マスタ!B:B,0))=0,"",INDEX(製品仕様マスタ!C:C,MATCH(W2Pデータ貼り付け!T112,製品仕様マスタ!B:B,0))),"")</f>
        <v/>
      </c>
      <c r="AJ112" s="15" t="str">
        <f>_xlfn.IFNA(IF(INDEX(製品仕様マスタ!AK:AK,MATCH(W2Pデータ貼り付け!T112,製品仕様マスタ!B:B,0))=0,"",INDEX(製品仕様マスタ!AK:AK,MATCH(W2Pデータ貼り付け!T112,製品仕様マスタ!B:B,0))),"")</f>
        <v/>
      </c>
      <c r="AK112" s="198" t="str">
        <f>_xlfn.IFNA(IF(INDEX(製品仕様マスタ!AY:AY,MATCH(W2Pデータ貼り付け!T112,製品仕様マスタ!B:B,0))=0,"",IF(INDEX(製品仕様マスタ!AY:AY,MATCH(W2Pデータ貼り付け!T112,製品仕様マスタ!B:B,0)) &lt;&gt; "-",INDEX(製品仕様マスタ!AY:AY,MATCH(W2Pデータ貼り付け!T112,製品仕様マスタ!B:B,0)),INDEX(製品仕様マスタ!AZ$1:BZ$500,MATCH(W2Pデータ貼り付け!T112,製品仕様マスタ!B:B,0),MATCH(W2Pデータ貼り付け!V112,製品仕様マスタ!AZ$1:BZ$1,0)))),"")</f>
        <v/>
      </c>
      <c r="AL112" s="15" t="str">
        <f t="shared" si="1"/>
        <v/>
      </c>
      <c r="AM112" s="15" t="str">
        <f>IF(AF112&lt;&gt;"",IF(ISNUMBER(T112),COUNT(AM$2:AM111)+1,""),"")</f>
        <v/>
      </c>
    </row>
    <row r="113" spans="35:39" ht="14.1" customHeight="1" x14ac:dyDescent="0.15">
      <c r="AI113" s="15" t="str">
        <f>_xlfn.IFNA(IF(INDEX(製品仕様マスタ!C:C,MATCH(W2Pデータ貼り付け!T113,製品仕様マスタ!B:B,0))=0,"",INDEX(製品仕様マスタ!C:C,MATCH(W2Pデータ貼り付け!T113,製品仕様マスタ!B:B,0))),"")</f>
        <v/>
      </c>
      <c r="AJ113" s="15" t="str">
        <f>_xlfn.IFNA(IF(INDEX(製品仕様マスタ!AK:AK,MATCH(W2Pデータ貼り付け!T113,製品仕様マスタ!B:B,0))=0,"",INDEX(製品仕様マスタ!AK:AK,MATCH(W2Pデータ貼り付け!T113,製品仕様マスタ!B:B,0))),"")</f>
        <v/>
      </c>
      <c r="AK113" s="198" t="str">
        <f>_xlfn.IFNA(IF(INDEX(製品仕様マスタ!AY:AY,MATCH(W2Pデータ貼り付け!T113,製品仕様マスタ!B:B,0))=0,"",IF(INDEX(製品仕様マスタ!AY:AY,MATCH(W2Pデータ貼り付け!T113,製品仕様マスタ!B:B,0)) &lt;&gt; "-",INDEX(製品仕様マスタ!AY:AY,MATCH(W2Pデータ貼り付け!T113,製品仕様マスタ!B:B,0)),INDEX(製品仕様マスタ!AZ$1:BZ$500,MATCH(W2Pデータ貼り付け!T113,製品仕様マスタ!B:B,0),MATCH(W2Pデータ貼り付け!V113,製品仕様マスタ!AZ$1:BZ$1,0)))),"")</f>
        <v/>
      </c>
      <c r="AL113" s="15" t="str">
        <f t="shared" si="1"/>
        <v/>
      </c>
      <c r="AM113" s="15" t="str">
        <f>IF(AF113&lt;&gt;"",IF(ISNUMBER(T113),COUNT(AM$2:AM112)+1,""),"")</f>
        <v/>
      </c>
    </row>
    <row r="114" spans="35:39" ht="14.1" customHeight="1" x14ac:dyDescent="0.15">
      <c r="AI114" s="15" t="str">
        <f>_xlfn.IFNA(IF(INDEX(製品仕様マスタ!C:C,MATCH(W2Pデータ貼り付け!T114,製品仕様マスタ!B:B,0))=0,"",INDEX(製品仕様マスタ!C:C,MATCH(W2Pデータ貼り付け!T114,製品仕様マスタ!B:B,0))),"")</f>
        <v/>
      </c>
      <c r="AJ114" s="15" t="str">
        <f>_xlfn.IFNA(IF(INDEX(製品仕様マスタ!AK:AK,MATCH(W2Pデータ貼り付け!T114,製品仕様マスタ!B:B,0))=0,"",INDEX(製品仕様マスタ!AK:AK,MATCH(W2Pデータ貼り付け!T114,製品仕様マスタ!B:B,0))),"")</f>
        <v/>
      </c>
      <c r="AK114" s="198" t="str">
        <f>_xlfn.IFNA(IF(INDEX(製品仕様マスタ!AY:AY,MATCH(W2Pデータ貼り付け!T114,製品仕様マスタ!B:B,0))=0,"",IF(INDEX(製品仕様マスタ!AY:AY,MATCH(W2Pデータ貼り付け!T114,製品仕様マスタ!B:B,0)) &lt;&gt; "-",INDEX(製品仕様マスタ!AY:AY,MATCH(W2Pデータ貼り付け!T114,製品仕様マスタ!B:B,0)),INDEX(製品仕様マスタ!AZ$1:BZ$500,MATCH(W2Pデータ貼り付け!T114,製品仕様マスタ!B:B,0),MATCH(W2Pデータ貼り付け!V114,製品仕様マスタ!AZ$1:BZ$1,0)))),"")</f>
        <v/>
      </c>
      <c r="AL114" s="15" t="str">
        <f t="shared" si="1"/>
        <v/>
      </c>
      <c r="AM114" s="15" t="str">
        <f>IF(AF114&lt;&gt;"",IF(ISNUMBER(T114),COUNT(AM$2:AM113)+1,""),"")</f>
        <v/>
      </c>
    </row>
    <row r="115" spans="35:39" ht="14.1" customHeight="1" x14ac:dyDescent="0.15">
      <c r="AI115" s="15" t="str">
        <f>_xlfn.IFNA(IF(INDEX(製品仕様マスタ!C:C,MATCH(W2Pデータ貼り付け!T115,製品仕様マスタ!B:B,0))=0,"",INDEX(製品仕様マスタ!C:C,MATCH(W2Pデータ貼り付け!T115,製品仕様マスタ!B:B,0))),"")</f>
        <v/>
      </c>
      <c r="AJ115" s="15" t="str">
        <f>_xlfn.IFNA(IF(INDEX(製品仕様マスタ!AK:AK,MATCH(W2Pデータ貼り付け!T115,製品仕様マスタ!B:B,0))=0,"",INDEX(製品仕様マスタ!AK:AK,MATCH(W2Pデータ貼り付け!T115,製品仕様マスタ!B:B,0))),"")</f>
        <v/>
      </c>
      <c r="AK115" s="198" t="str">
        <f>_xlfn.IFNA(IF(INDEX(製品仕様マスタ!AY:AY,MATCH(W2Pデータ貼り付け!T115,製品仕様マスタ!B:B,0))=0,"",IF(INDEX(製品仕様マスタ!AY:AY,MATCH(W2Pデータ貼り付け!T115,製品仕様マスタ!B:B,0)) &lt;&gt; "-",INDEX(製品仕様マスタ!AY:AY,MATCH(W2Pデータ貼り付け!T115,製品仕様マスタ!B:B,0)),INDEX(製品仕様マスタ!AZ$1:BZ$500,MATCH(W2Pデータ貼り付け!T115,製品仕様マスタ!B:B,0),MATCH(W2Pデータ貼り付け!V115,製品仕様マスタ!AZ$1:BZ$1,0)))),"")</f>
        <v/>
      </c>
      <c r="AL115" s="15" t="str">
        <f t="shared" si="1"/>
        <v/>
      </c>
      <c r="AM115" s="15" t="str">
        <f>IF(AF115&lt;&gt;"",IF(ISNUMBER(T115),COUNT(AM$2:AM114)+1,""),"")</f>
        <v/>
      </c>
    </row>
    <row r="116" spans="35:39" ht="14.1" customHeight="1" x14ac:dyDescent="0.15">
      <c r="AI116" s="15" t="str">
        <f>_xlfn.IFNA(IF(INDEX(製品仕様マスタ!C:C,MATCH(W2Pデータ貼り付け!T116,製品仕様マスタ!B:B,0))=0,"",INDEX(製品仕様マスタ!C:C,MATCH(W2Pデータ貼り付け!T116,製品仕様マスタ!B:B,0))),"")</f>
        <v/>
      </c>
      <c r="AJ116" s="15" t="str">
        <f>_xlfn.IFNA(IF(INDEX(製品仕様マスタ!AK:AK,MATCH(W2Pデータ貼り付け!T116,製品仕様マスタ!B:B,0))=0,"",INDEX(製品仕様マスタ!AK:AK,MATCH(W2Pデータ貼り付け!T116,製品仕様マスタ!B:B,0))),"")</f>
        <v/>
      </c>
      <c r="AK116" s="198" t="str">
        <f>_xlfn.IFNA(IF(INDEX(製品仕様マスタ!AY:AY,MATCH(W2Pデータ貼り付け!T116,製品仕様マスタ!B:B,0))=0,"",IF(INDEX(製品仕様マスタ!AY:AY,MATCH(W2Pデータ貼り付け!T116,製品仕様マスタ!B:B,0)) &lt;&gt; "-",INDEX(製品仕様マスタ!AY:AY,MATCH(W2Pデータ貼り付け!T116,製品仕様マスタ!B:B,0)),INDEX(製品仕様マスタ!AZ$1:BZ$500,MATCH(W2Pデータ貼り付け!T116,製品仕様マスタ!B:B,0),MATCH(W2Pデータ貼り付け!V116,製品仕様マスタ!AZ$1:BZ$1,0)))),"")</f>
        <v/>
      </c>
      <c r="AL116" s="15" t="str">
        <f t="shared" si="1"/>
        <v/>
      </c>
      <c r="AM116" s="15" t="str">
        <f>IF(AF116&lt;&gt;"",IF(ISNUMBER(T116),COUNT(AM$2:AM115)+1,""),"")</f>
        <v/>
      </c>
    </row>
    <row r="117" spans="35:39" ht="14.1" customHeight="1" x14ac:dyDescent="0.15">
      <c r="AI117" s="15" t="str">
        <f>_xlfn.IFNA(IF(INDEX(製品仕様マスタ!C:C,MATCH(W2Pデータ貼り付け!T117,製品仕様マスタ!B:B,0))=0,"",INDEX(製品仕様マスタ!C:C,MATCH(W2Pデータ貼り付け!T117,製品仕様マスタ!B:B,0))),"")</f>
        <v/>
      </c>
      <c r="AJ117" s="15" t="str">
        <f>_xlfn.IFNA(IF(INDEX(製品仕様マスタ!AK:AK,MATCH(W2Pデータ貼り付け!T117,製品仕様マスタ!B:B,0))=0,"",INDEX(製品仕様マスタ!AK:AK,MATCH(W2Pデータ貼り付け!T117,製品仕様マスタ!B:B,0))),"")</f>
        <v/>
      </c>
      <c r="AK117" s="198" t="str">
        <f>_xlfn.IFNA(IF(INDEX(製品仕様マスタ!AY:AY,MATCH(W2Pデータ貼り付け!T117,製品仕様マスタ!B:B,0))=0,"",IF(INDEX(製品仕様マスタ!AY:AY,MATCH(W2Pデータ貼り付け!T117,製品仕様マスタ!B:B,0)) &lt;&gt; "-",INDEX(製品仕様マスタ!AY:AY,MATCH(W2Pデータ貼り付け!T117,製品仕様マスタ!B:B,0)),INDEX(製品仕様マスタ!AZ$1:BZ$500,MATCH(W2Pデータ貼り付け!T117,製品仕様マスタ!B:B,0),MATCH(W2Pデータ貼り付け!V117,製品仕様マスタ!AZ$1:BZ$1,0)))),"")</f>
        <v/>
      </c>
      <c r="AL117" s="15" t="str">
        <f t="shared" si="1"/>
        <v/>
      </c>
      <c r="AM117" s="15" t="str">
        <f>IF(AF117&lt;&gt;"",IF(ISNUMBER(T117),COUNT(AM$2:AM116)+1,""),"")</f>
        <v/>
      </c>
    </row>
    <row r="118" spans="35:39" ht="14.1" customHeight="1" x14ac:dyDescent="0.15">
      <c r="AI118" s="15" t="str">
        <f>_xlfn.IFNA(IF(INDEX(製品仕様マスタ!C:C,MATCH(W2Pデータ貼り付け!T118,製品仕様マスタ!B:B,0))=0,"",INDEX(製品仕様マスタ!C:C,MATCH(W2Pデータ貼り付け!T118,製品仕様マスタ!B:B,0))),"")</f>
        <v/>
      </c>
      <c r="AJ118" s="15" t="str">
        <f>_xlfn.IFNA(IF(INDEX(製品仕様マスタ!AK:AK,MATCH(W2Pデータ貼り付け!T118,製品仕様マスタ!B:B,0))=0,"",INDEX(製品仕様マスタ!AK:AK,MATCH(W2Pデータ貼り付け!T118,製品仕様マスタ!B:B,0))),"")</f>
        <v/>
      </c>
      <c r="AK118" s="198" t="str">
        <f>_xlfn.IFNA(IF(INDEX(製品仕様マスタ!AY:AY,MATCH(W2Pデータ貼り付け!T118,製品仕様マスタ!B:B,0))=0,"",IF(INDEX(製品仕様マスタ!AY:AY,MATCH(W2Pデータ貼り付け!T118,製品仕様マスタ!B:B,0)) &lt;&gt; "-",INDEX(製品仕様マスタ!AY:AY,MATCH(W2Pデータ貼り付け!T118,製品仕様マスタ!B:B,0)),INDEX(製品仕様マスタ!AZ$1:BZ$500,MATCH(W2Pデータ貼り付け!T118,製品仕様マスタ!B:B,0),MATCH(W2Pデータ貼り付け!V118,製品仕様マスタ!AZ$1:BZ$1,0)))),"")</f>
        <v/>
      </c>
      <c r="AL118" s="15" t="str">
        <f t="shared" si="1"/>
        <v/>
      </c>
      <c r="AM118" s="15" t="str">
        <f>IF(AF118&lt;&gt;"",IF(ISNUMBER(T118),COUNT(AM$2:AM117)+1,""),"")</f>
        <v/>
      </c>
    </row>
    <row r="119" spans="35:39" ht="14.1" customHeight="1" x14ac:dyDescent="0.15">
      <c r="AI119" s="15" t="str">
        <f>_xlfn.IFNA(IF(INDEX(製品仕様マスタ!C:C,MATCH(W2Pデータ貼り付け!T119,製品仕様マスタ!B:B,0))=0,"",INDEX(製品仕様マスタ!C:C,MATCH(W2Pデータ貼り付け!T119,製品仕様マスタ!B:B,0))),"")</f>
        <v/>
      </c>
      <c r="AJ119" s="15" t="str">
        <f>_xlfn.IFNA(IF(INDEX(製品仕様マスタ!AK:AK,MATCH(W2Pデータ貼り付け!T119,製品仕様マスタ!B:B,0))=0,"",INDEX(製品仕様マスタ!AK:AK,MATCH(W2Pデータ貼り付け!T119,製品仕様マスタ!B:B,0))),"")</f>
        <v/>
      </c>
      <c r="AK119" s="198" t="str">
        <f>_xlfn.IFNA(IF(INDEX(製品仕様マスタ!AY:AY,MATCH(W2Pデータ貼り付け!T119,製品仕様マスタ!B:B,0))=0,"",IF(INDEX(製品仕様マスタ!AY:AY,MATCH(W2Pデータ貼り付け!T119,製品仕様マスタ!B:B,0)) &lt;&gt; "-",INDEX(製品仕様マスタ!AY:AY,MATCH(W2Pデータ貼り付け!T119,製品仕様マスタ!B:B,0)),INDEX(製品仕様マスタ!AZ$1:BZ$500,MATCH(W2Pデータ貼り付け!T119,製品仕様マスタ!B:B,0),MATCH(W2Pデータ貼り付け!V119,製品仕様マスタ!AZ$1:BZ$1,0)))),"")</f>
        <v/>
      </c>
      <c r="AL119" s="15" t="str">
        <f t="shared" si="1"/>
        <v/>
      </c>
      <c r="AM119" s="15" t="str">
        <f>IF(AF119&lt;&gt;"",IF(ISNUMBER(T119),COUNT(AM$2:AM118)+1,""),"")</f>
        <v/>
      </c>
    </row>
    <row r="120" spans="35:39" ht="14.1" customHeight="1" x14ac:dyDescent="0.15">
      <c r="AI120" s="15" t="str">
        <f>_xlfn.IFNA(IF(INDEX(製品仕様マスタ!C:C,MATCH(W2Pデータ貼り付け!T120,製品仕様マスタ!B:B,0))=0,"",INDEX(製品仕様マスタ!C:C,MATCH(W2Pデータ貼り付け!T120,製品仕様マスタ!B:B,0))),"")</f>
        <v/>
      </c>
      <c r="AJ120" s="15" t="str">
        <f>_xlfn.IFNA(IF(INDEX(製品仕様マスタ!AK:AK,MATCH(W2Pデータ貼り付け!T120,製品仕様マスタ!B:B,0))=0,"",INDEX(製品仕様マスタ!AK:AK,MATCH(W2Pデータ貼り付け!T120,製品仕様マスタ!B:B,0))),"")</f>
        <v/>
      </c>
      <c r="AK120" s="198" t="str">
        <f>_xlfn.IFNA(IF(INDEX(製品仕様マスタ!AY:AY,MATCH(W2Pデータ貼り付け!T120,製品仕様マスタ!B:B,0))=0,"",IF(INDEX(製品仕様マスタ!AY:AY,MATCH(W2Pデータ貼り付け!T120,製品仕様マスタ!B:B,0)) &lt;&gt; "-",INDEX(製品仕様マスタ!AY:AY,MATCH(W2Pデータ貼り付け!T120,製品仕様マスタ!B:B,0)),INDEX(製品仕様マスタ!AZ$1:BZ$500,MATCH(W2Pデータ貼り付け!T120,製品仕様マスタ!B:B,0),MATCH(W2Pデータ貼り付け!V120,製品仕様マスタ!AZ$1:BZ$1,0)))),"")</f>
        <v/>
      </c>
      <c r="AL120" s="15" t="str">
        <f t="shared" si="1"/>
        <v/>
      </c>
      <c r="AM120" s="15" t="str">
        <f>IF(AF120&lt;&gt;"",IF(ISNUMBER(T120),COUNT(AM$2:AM119)+1,""),"")</f>
        <v/>
      </c>
    </row>
    <row r="121" spans="35:39" ht="14.1" customHeight="1" x14ac:dyDescent="0.15">
      <c r="AI121" s="15" t="str">
        <f>_xlfn.IFNA(IF(INDEX(製品仕様マスタ!C:C,MATCH(W2Pデータ貼り付け!T121,製品仕様マスタ!B:B,0))=0,"",INDEX(製品仕様マスタ!C:C,MATCH(W2Pデータ貼り付け!T121,製品仕様マスタ!B:B,0))),"")</f>
        <v/>
      </c>
      <c r="AJ121" s="15" t="str">
        <f>_xlfn.IFNA(IF(INDEX(製品仕様マスタ!AK:AK,MATCH(W2Pデータ貼り付け!T121,製品仕様マスタ!B:B,0))=0,"",INDEX(製品仕様マスタ!AK:AK,MATCH(W2Pデータ貼り付け!T121,製品仕様マスタ!B:B,0))),"")</f>
        <v/>
      </c>
      <c r="AK121" s="198" t="str">
        <f>_xlfn.IFNA(IF(INDEX(製品仕様マスタ!AY:AY,MATCH(W2Pデータ貼り付け!T121,製品仕様マスタ!B:B,0))=0,"",IF(INDEX(製品仕様マスタ!AY:AY,MATCH(W2Pデータ貼り付け!T121,製品仕様マスタ!B:B,0)) &lt;&gt; "-",INDEX(製品仕様マスタ!AY:AY,MATCH(W2Pデータ貼り付け!T121,製品仕様マスタ!B:B,0)),INDEX(製品仕様マスタ!AZ$1:BZ$500,MATCH(W2Pデータ貼り付け!T121,製品仕様マスタ!B:B,0),MATCH(W2Pデータ貼り付け!V121,製品仕様マスタ!AZ$1:BZ$1,0)))),"")</f>
        <v/>
      </c>
      <c r="AL121" s="15" t="str">
        <f t="shared" si="1"/>
        <v/>
      </c>
      <c r="AM121" s="15" t="str">
        <f>IF(AF121&lt;&gt;"",IF(ISNUMBER(T121),COUNT(AM$2:AM120)+1,""),"")</f>
        <v/>
      </c>
    </row>
    <row r="122" spans="35:39" ht="14.1" customHeight="1" x14ac:dyDescent="0.15">
      <c r="AI122" s="15" t="str">
        <f>_xlfn.IFNA(IF(INDEX(製品仕様マスタ!C:C,MATCH(W2Pデータ貼り付け!T122,製品仕様マスタ!B:B,0))=0,"",INDEX(製品仕様マスタ!C:C,MATCH(W2Pデータ貼り付け!T122,製品仕様マスタ!B:B,0))),"")</f>
        <v/>
      </c>
      <c r="AJ122" s="15" t="str">
        <f>_xlfn.IFNA(IF(INDEX(製品仕様マスタ!AK:AK,MATCH(W2Pデータ貼り付け!T122,製品仕様マスタ!B:B,0))=0,"",INDEX(製品仕様マスタ!AK:AK,MATCH(W2Pデータ貼り付け!T122,製品仕様マスタ!B:B,0))),"")</f>
        <v/>
      </c>
      <c r="AK122" s="198" t="str">
        <f>_xlfn.IFNA(IF(INDEX(製品仕様マスタ!AY:AY,MATCH(W2Pデータ貼り付け!T122,製品仕様マスタ!B:B,0))=0,"",IF(INDEX(製品仕様マスタ!AY:AY,MATCH(W2Pデータ貼り付け!T122,製品仕様マスタ!B:B,0)) &lt;&gt; "-",INDEX(製品仕様マスタ!AY:AY,MATCH(W2Pデータ貼り付け!T122,製品仕様マスタ!B:B,0)),INDEX(製品仕様マスタ!AZ$1:BZ$500,MATCH(W2Pデータ貼り付け!T122,製品仕様マスタ!B:B,0),MATCH(W2Pデータ貼り付け!V122,製品仕様マスタ!AZ$1:BZ$1,0)))),"")</f>
        <v/>
      </c>
      <c r="AL122" s="15" t="str">
        <f t="shared" si="1"/>
        <v/>
      </c>
      <c r="AM122" s="15" t="str">
        <f>IF(AF122&lt;&gt;"",IF(ISNUMBER(T122),COUNT(AM$2:AM121)+1,""),"")</f>
        <v/>
      </c>
    </row>
    <row r="123" spans="35:39" ht="14.1" customHeight="1" x14ac:dyDescent="0.15">
      <c r="AI123" s="15" t="str">
        <f>_xlfn.IFNA(IF(INDEX(製品仕様マスタ!C:C,MATCH(W2Pデータ貼り付け!T123,製品仕様マスタ!B:B,0))=0,"",INDEX(製品仕様マスタ!C:C,MATCH(W2Pデータ貼り付け!T123,製品仕様マスタ!B:B,0))),"")</f>
        <v/>
      </c>
      <c r="AJ123" s="15" t="str">
        <f>_xlfn.IFNA(IF(INDEX(製品仕様マスタ!AK:AK,MATCH(W2Pデータ貼り付け!T123,製品仕様マスタ!B:B,0))=0,"",INDEX(製品仕様マスタ!AK:AK,MATCH(W2Pデータ貼り付け!T123,製品仕様マスタ!B:B,0))),"")</f>
        <v/>
      </c>
      <c r="AK123" s="198" t="str">
        <f>_xlfn.IFNA(IF(INDEX(製品仕様マスタ!AY:AY,MATCH(W2Pデータ貼り付け!T123,製品仕様マスタ!B:B,0))=0,"",IF(INDEX(製品仕様マスタ!AY:AY,MATCH(W2Pデータ貼り付け!T123,製品仕様マスタ!B:B,0)) &lt;&gt; "-",INDEX(製品仕様マスタ!AY:AY,MATCH(W2Pデータ貼り付け!T123,製品仕様マスタ!B:B,0)),INDEX(製品仕様マスタ!AZ$1:BZ$500,MATCH(W2Pデータ貼り付け!T123,製品仕様マスタ!B:B,0),MATCH(W2Pデータ貼り付け!V123,製品仕様マスタ!AZ$1:BZ$1,0)))),"")</f>
        <v/>
      </c>
      <c r="AL123" s="15" t="str">
        <f t="shared" si="1"/>
        <v/>
      </c>
      <c r="AM123" s="15" t="str">
        <f>IF(AF123&lt;&gt;"",IF(ISNUMBER(T123),COUNT(AM$2:AM122)+1,""),"")</f>
        <v/>
      </c>
    </row>
    <row r="124" spans="35:39" ht="14.1" customHeight="1" x14ac:dyDescent="0.15">
      <c r="AI124" s="15" t="str">
        <f>_xlfn.IFNA(IF(INDEX(製品仕様マスタ!C:C,MATCH(W2Pデータ貼り付け!T124,製品仕様マスタ!B:B,0))=0,"",INDEX(製品仕様マスタ!C:C,MATCH(W2Pデータ貼り付け!T124,製品仕様マスタ!B:B,0))),"")</f>
        <v/>
      </c>
      <c r="AJ124" s="15" t="str">
        <f>_xlfn.IFNA(IF(INDEX(製品仕様マスタ!AK:AK,MATCH(W2Pデータ貼り付け!T124,製品仕様マスタ!B:B,0))=0,"",INDEX(製品仕様マスタ!AK:AK,MATCH(W2Pデータ貼り付け!T124,製品仕様マスタ!B:B,0))),"")</f>
        <v/>
      </c>
      <c r="AK124" s="198" t="str">
        <f>_xlfn.IFNA(IF(INDEX(製品仕様マスタ!AY:AY,MATCH(W2Pデータ貼り付け!T124,製品仕様マスタ!B:B,0))=0,"",IF(INDEX(製品仕様マスタ!AY:AY,MATCH(W2Pデータ貼り付け!T124,製品仕様マスタ!B:B,0)) &lt;&gt; "-",INDEX(製品仕様マスタ!AY:AY,MATCH(W2Pデータ貼り付け!T124,製品仕様マスタ!B:B,0)),INDEX(製品仕様マスタ!AZ$1:BZ$500,MATCH(W2Pデータ貼り付け!T124,製品仕様マスタ!B:B,0),MATCH(W2Pデータ貼り付け!V124,製品仕様マスタ!AZ$1:BZ$1,0)))),"")</f>
        <v/>
      </c>
      <c r="AL124" s="15" t="str">
        <f t="shared" si="1"/>
        <v/>
      </c>
      <c r="AM124" s="15" t="str">
        <f>IF(AF124&lt;&gt;"",IF(ISNUMBER(T124),COUNT(AM$2:AM123)+1,""),"")</f>
        <v/>
      </c>
    </row>
    <row r="125" spans="35:39" ht="14.1" customHeight="1" x14ac:dyDescent="0.15">
      <c r="AI125" s="15" t="str">
        <f>_xlfn.IFNA(IF(INDEX(製品仕様マスタ!C:C,MATCH(W2Pデータ貼り付け!T125,製品仕様マスタ!B:B,0))=0,"",INDEX(製品仕様マスタ!C:C,MATCH(W2Pデータ貼り付け!T125,製品仕様マスタ!B:B,0))),"")</f>
        <v/>
      </c>
      <c r="AJ125" s="15" t="str">
        <f>_xlfn.IFNA(IF(INDEX(製品仕様マスタ!AK:AK,MATCH(W2Pデータ貼り付け!T125,製品仕様マスタ!B:B,0))=0,"",INDEX(製品仕様マスタ!AK:AK,MATCH(W2Pデータ貼り付け!T125,製品仕様マスタ!B:B,0))),"")</f>
        <v/>
      </c>
      <c r="AK125" s="198" t="str">
        <f>_xlfn.IFNA(IF(INDEX(製品仕様マスタ!AY:AY,MATCH(W2Pデータ貼り付け!T125,製品仕様マスタ!B:B,0))=0,"",IF(INDEX(製品仕様マスタ!AY:AY,MATCH(W2Pデータ貼り付け!T125,製品仕様マスタ!B:B,0)) &lt;&gt; "-",INDEX(製品仕様マスタ!AY:AY,MATCH(W2Pデータ貼り付け!T125,製品仕様マスタ!B:B,0)),INDEX(製品仕様マスタ!AZ$1:BZ$500,MATCH(W2Pデータ貼り付け!T125,製品仕様マスタ!B:B,0),MATCH(W2Pデータ貼り付け!V125,製品仕様マスタ!AZ$1:BZ$1,0)))),"")</f>
        <v/>
      </c>
      <c r="AL125" s="15" t="str">
        <f t="shared" si="1"/>
        <v/>
      </c>
      <c r="AM125" s="15" t="str">
        <f>IF(AF125&lt;&gt;"",IF(ISNUMBER(T125),COUNT(AM$2:AM124)+1,""),"")</f>
        <v/>
      </c>
    </row>
    <row r="126" spans="35:39" ht="14.1" customHeight="1" x14ac:dyDescent="0.15">
      <c r="AI126" s="15" t="str">
        <f>_xlfn.IFNA(IF(INDEX(製品仕様マスタ!C:C,MATCH(W2Pデータ貼り付け!T126,製品仕様マスタ!B:B,0))=0,"",INDEX(製品仕様マスタ!C:C,MATCH(W2Pデータ貼り付け!T126,製品仕様マスタ!B:B,0))),"")</f>
        <v/>
      </c>
      <c r="AJ126" s="15" t="str">
        <f>_xlfn.IFNA(IF(INDEX(製品仕様マスタ!AK:AK,MATCH(W2Pデータ貼り付け!T126,製品仕様マスタ!B:B,0))=0,"",INDEX(製品仕様マスタ!AK:AK,MATCH(W2Pデータ貼り付け!T126,製品仕様マスタ!B:B,0))),"")</f>
        <v/>
      </c>
      <c r="AK126" s="198" t="str">
        <f>_xlfn.IFNA(IF(INDEX(製品仕様マスタ!AY:AY,MATCH(W2Pデータ貼り付け!T126,製品仕様マスタ!B:B,0))=0,"",IF(INDEX(製品仕様マスタ!AY:AY,MATCH(W2Pデータ貼り付け!T126,製品仕様マスタ!B:B,0)) &lt;&gt; "-",INDEX(製品仕様マスタ!AY:AY,MATCH(W2Pデータ貼り付け!T126,製品仕様マスタ!B:B,0)),INDEX(製品仕様マスタ!AZ$1:BZ$500,MATCH(W2Pデータ貼り付け!T126,製品仕様マスタ!B:B,0),MATCH(W2Pデータ貼り付け!V126,製品仕様マスタ!AZ$1:BZ$1,0)))),"")</f>
        <v/>
      </c>
      <c r="AL126" s="15" t="str">
        <f t="shared" si="1"/>
        <v/>
      </c>
      <c r="AM126" s="15" t="str">
        <f>IF(AF126&lt;&gt;"",IF(ISNUMBER(T126),COUNT(AM$2:AM125)+1,""),"")</f>
        <v/>
      </c>
    </row>
    <row r="127" spans="35:39" ht="14.1" customHeight="1" x14ac:dyDescent="0.15">
      <c r="AI127" s="15" t="str">
        <f>_xlfn.IFNA(IF(INDEX(製品仕様マスタ!C:C,MATCH(W2Pデータ貼り付け!T127,製品仕様マスタ!B:B,0))=0,"",INDEX(製品仕様マスタ!C:C,MATCH(W2Pデータ貼り付け!T127,製品仕様マスタ!B:B,0))),"")</f>
        <v/>
      </c>
      <c r="AJ127" s="15" t="str">
        <f>_xlfn.IFNA(IF(INDEX(製品仕様マスタ!AK:AK,MATCH(W2Pデータ貼り付け!T127,製品仕様マスタ!B:B,0))=0,"",INDEX(製品仕様マスタ!AK:AK,MATCH(W2Pデータ貼り付け!T127,製品仕様マスタ!B:B,0))),"")</f>
        <v/>
      </c>
      <c r="AK127" s="198" t="str">
        <f>_xlfn.IFNA(IF(INDEX(製品仕様マスタ!AY:AY,MATCH(W2Pデータ貼り付け!T127,製品仕様マスタ!B:B,0))=0,"",IF(INDEX(製品仕様マスタ!AY:AY,MATCH(W2Pデータ貼り付け!T127,製品仕様マスタ!B:B,0)) &lt;&gt; "-",INDEX(製品仕様マスタ!AY:AY,MATCH(W2Pデータ貼り付け!T127,製品仕様マスタ!B:B,0)),INDEX(製品仕様マスタ!AZ$1:BZ$500,MATCH(W2Pデータ貼り付け!T127,製品仕様マスタ!B:B,0),MATCH(W2Pデータ貼り付け!V127,製品仕様マスタ!AZ$1:BZ$1,0)))),"")</f>
        <v/>
      </c>
      <c r="AL127" s="15" t="str">
        <f t="shared" si="1"/>
        <v/>
      </c>
      <c r="AM127" s="15" t="str">
        <f>IF(AF127&lt;&gt;"",IF(ISNUMBER(T127),COUNT(AM$2:AM126)+1,""),"")</f>
        <v/>
      </c>
    </row>
    <row r="128" spans="35:39" ht="14.1" customHeight="1" x14ac:dyDescent="0.15">
      <c r="AI128" s="15" t="str">
        <f>_xlfn.IFNA(IF(INDEX(製品仕様マスタ!C:C,MATCH(W2Pデータ貼り付け!T128,製品仕様マスタ!B:B,0))=0,"",INDEX(製品仕様マスタ!C:C,MATCH(W2Pデータ貼り付け!T128,製品仕様マスタ!B:B,0))),"")</f>
        <v/>
      </c>
      <c r="AJ128" s="15" t="str">
        <f>_xlfn.IFNA(IF(INDEX(製品仕様マスタ!AK:AK,MATCH(W2Pデータ貼り付け!T128,製品仕様マスタ!B:B,0))=0,"",INDEX(製品仕様マスタ!AK:AK,MATCH(W2Pデータ貼り付け!T128,製品仕様マスタ!B:B,0))),"")</f>
        <v/>
      </c>
      <c r="AK128" s="198" t="str">
        <f>_xlfn.IFNA(IF(INDEX(製品仕様マスタ!AY:AY,MATCH(W2Pデータ貼り付け!T128,製品仕様マスタ!B:B,0))=0,"",IF(INDEX(製品仕様マスタ!AY:AY,MATCH(W2Pデータ貼り付け!T128,製品仕様マスタ!B:B,0)) &lt;&gt; "-",INDEX(製品仕様マスタ!AY:AY,MATCH(W2Pデータ貼り付け!T128,製品仕様マスタ!B:B,0)),INDEX(製品仕様マスタ!AZ$1:BZ$500,MATCH(W2Pデータ貼り付け!T128,製品仕様マスタ!B:B,0),MATCH(W2Pデータ貼り付け!V128,製品仕様マスタ!AZ$1:BZ$1,0)))),"")</f>
        <v/>
      </c>
      <c r="AL128" s="15" t="str">
        <f t="shared" si="1"/>
        <v/>
      </c>
      <c r="AM128" s="15" t="str">
        <f>IF(AF128&lt;&gt;"",IF(ISNUMBER(T128),COUNT(AM$2:AM127)+1,""),"")</f>
        <v/>
      </c>
    </row>
    <row r="129" spans="35:39" ht="14.1" customHeight="1" x14ac:dyDescent="0.15">
      <c r="AI129" s="15" t="str">
        <f>_xlfn.IFNA(IF(INDEX(製品仕様マスタ!C:C,MATCH(W2Pデータ貼り付け!T129,製品仕様マスタ!B:B,0))=0,"",INDEX(製品仕様マスタ!C:C,MATCH(W2Pデータ貼り付け!T129,製品仕様マスタ!B:B,0))),"")</f>
        <v/>
      </c>
      <c r="AJ129" s="15" t="str">
        <f>_xlfn.IFNA(IF(INDEX(製品仕様マスタ!AK:AK,MATCH(W2Pデータ貼り付け!T129,製品仕様マスタ!B:B,0))=0,"",INDEX(製品仕様マスタ!AK:AK,MATCH(W2Pデータ貼り付け!T129,製品仕様マスタ!B:B,0))),"")</f>
        <v/>
      </c>
      <c r="AK129" s="198" t="str">
        <f>_xlfn.IFNA(IF(INDEX(製品仕様マスタ!AY:AY,MATCH(W2Pデータ貼り付け!T129,製品仕様マスタ!B:B,0))=0,"",IF(INDEX(製品仕様マスタ!AY:AY,MATCH(W2Pデータ貼り付け!T129,製品仕様マスタ!B:B,0)) &lt;&gt; "-",INDEX(製品仕様マスタ!AY:AY,MATCH(W2Pデータ貼り付け!T129,製品仕様マスタ!B:B,0)),INDEX(製品仕様マスタ!AZ$1:BZ$500,MATCH(W2Pデータ貼り付け!T129,製品仕様マスタ!B:B,0),MATCH(W2Pデータ貼り付け!V129,製品仕様マスタ!AZ$1:BZ$1,0)))),"")</f>
        <v/>
      </c>
      <c r="AL129" s="15" t="str">
        <f t="shared" si="1"/>
        <v/>
      </c>
      <c r="AM129" s="15" t="str">
        <f>IF(AF129&lt;&gt;"",IF(ISNUMBER(T129),COUNT(AM$2:AM128)+1,""),"")</f>
        <v/>
      </c>
    </row>
    <row r="130" spans="35:39" ht="14.1" customHeight="1" x14ac:dyDescent="0.15">
      <c r="AI130" s="15" t="str">
        <f>_xlfn.IFNA(IF(INDEX(製品仕様マスタ!C:C,MATCH(W2Pデータ貼り付け!T130,製品仕様マスタ!B:B,0))=0,"",INDEX(製品仕様マスタ!C:C,MATCH(W2Pデータ貼り付け!T130,製品仕様マスタ!B:B,0))),"")</f>
        <v/>
      </c>
      <c r="AJ130" s="15" t="str">
        <f>_xlfn.IFNA(IF(INDEX(製品仕様マスタ!AK:AK,MATCH(W2Pデータ貼り付け!T130,製品仕様マスタ!B:B,0))=0,"",INDEX(製品仕様マスタ!AK:AK,MATCH(W2Pデータ貼り付け!T130,製品仕様マスタ!B:B,0))),"")</f>
        <v/>
      </c>
      <c r="AK130" s="198" t="str">
        <f>_xlfn.IFNA(IF(INDEX(製品仕様マスタ!AY:AY,MATCH(W2Pデータ貼り付け!T130,製品仕様マスタ!B:B,0))=0,"",IF(INDEX(製品仕様マスタ!AY:AY,MATCH(W2Pデータ貼り付け!T130,製品仕様マスタ!B:B,0)) &lt;&gt; "-",INDEX(製品仕様マスタ!AY:AY,MATCH(W2Pデータ貼り付け!T130,製品仕様マスタ!B:B,0)),INDEX(製品仕様マスタ!AZ$1:BZ$500,MATCH(W2Pデータ貼り付け!T130,製品仕様マスタ!B:B,0),MATCH(W2Pデータ貼り付け!V130,製品仕様マスタ!AZ$1:BZ$1,0)))),"")</f>
        <v/>
      </c>
      <c r="AL130" s="15" t="str">
        <f t="shared" ref="AL130:AL193" si="2">IFERROR(V130*AK130,"")</f>
        <v/>
      </c>
      <c r="AM130" s="15" t="str">
        <f>IF(AF130&lt;&gt;"",IF(ISNUMBER(T130),COUNT(AM$2:AM129)+1,""),"")</f>
        <v/>
      </c>
    </row>
    <row r="131" spans="35:39" ht="14.1" customHeight="1" x14ac:dyDescent="0.15">
      <c r="AI131" s="15" t="str">
        <f>_xlfn.IFNA(IF(INDEX(製品仕様マスタ!C:C,MATCH(W2Pデータ貼り付け!T131,製品仕様マスタ!B:B,0))=0,"",INDEX(製品仕様マスタ!C:C,MATCH(W2Pデータ貼り付け!T131,製品仕様マスタ!B:B,0))),"")</f>
        <v/>
      </c>
      <c r="AJ131" s="15" t="str">
        <f>_xlfn.IFNA(IF(INDEX(製品仕様マスタ!AK:AK,MATCH(W2Pデータ貼り付け!T131,製品仕様マスタ!B:B,0))=0,"",INDEX(製品仕様マスタ!AK:AK,MATCH(W2Pデータ貼り付け!T131,製品仕様マスタ!B:B,0))),"")</f>
        <v/>
      </c>
      <c r="AK131" s="198" t="str">
        <f>_xlfn.IFNA(IF(INDEX(製品仕様マスタ!AY:AY,MATCH(W2Pデータ貼り付け!T131,製品仕様マスタ!B:B,0))=0,"",IF(INDEX(製品仕様マスタ!AY:AY,MATCH(W2Pデータ貼り付け!T131,製品仕様マスタ!B:B,0)) &lt;&gt; "-",INDEX(製品仕様マスタ!AY:AY,MATCH(W2Pデータ貼り付け!T131,製品仕様マスタ!B:B,0)),INDEX(製品仕様マスタ!AZ$1:BZ$500,MATCH(W2Pデータ貼り付け!T131,製品仕様マスタ!B:B,0),MATCH(W2Pデータ貼り付け!V131,製品仕様マスタ!AZ$1:BZ$1,0)))),"")</f>
        <v/>
      </c>
      <c r="AL131" s="15" t="str">
        <f t="shared" si="2"/>
        <v/>
      </c>
      <c r="AM131" s="15" t="str">
        <f>IF(AF131&lt;&gt;"",IF(ISNUMBER(T131),COUNT(AM$2:AM130)+1,""),"")</f>
        <v/>
      </c>
    </row>
    <row r="132" spans="35:39" ht="14.1" customHeight="1" x14ac:dyDescent="0.15">
      <c r="AI132" s="15" t="str">
        <f>_xlfn.IFNA(IF(INDEX(製品仕様マスタ!C:C,MATCH(W2Pデータ貼り付け!T132,製品仕様マスタ!B:B,0))=0,"",INDEX(製品仕様マスタ!C:C,MATCH(W2Pデータ貼り付け!T132,製品仕様マスタ!B:B,0))),"")</f>
        <v/>
      </c>
      <c r="AJ132" s="15" t="str">
        <f>_xlfn.IFNA(IF(INDEX(製品仕様マスタ!AK:AK,MATCH(W2Pデータ貼り付け!T132,製品仕様マスタ!B:B,0))=0,"",INDEX(製品仕様マスタ!AK:AK,MATCH(W2Pデータ貼り付け!T132,製品仕様マスタ!B:B,0))),"")</f>
        <v/>
      </c>
      <c r="AK132" s="198" t="str">
        <f>_xlfn.IFNA(IF(INDEX(製品仕様マスタ!AY:AY,MATCH(W2Pデータ貼り付け!T132,製品仕様マスタ!B:B,0))=0,"",IF(INDEX(製品仕様マスタ!AY:AY,MATCH(W2Pデータ貼り付け!T132,製品仕様マスタ!B:B,0)) &lt;&gt; "-",INDEX(製品仕様マスタ!AY:AY,MATCH(W2Pデータ貼り付け!T132,製品仕様マスタ!B:B,0)),INDEX(製品仕様マスタ!AZ$1:BZ$500,MATCH(W2Pデータ貼り付け!T132,製品仕様マスタ!B:B,0),MATCH(W2Pデータ貼り付け!V132,製品仕様マスタ!AZ$1:BZ$1,0)))),"")</f>
        <v/>
      </c>
      <c r="AL132" s="15" t="str">
        <f t="shared" si="2"/>
        <v/>
      </c>
      <c r="AM132" s="15" t="str">
        <f>IF(AF132&lt;&gt;"",IF(ISNUMBER(T132),COUNT(AM$2:AM131)+1,""),"")</f>
        <v/>
      </c>
    </row>
    <row r="133" spans="35:39" ht="14.1" customHeight="1" x14ac:dyDescent="0.15">
      <c r="AI133" s="15" t="str">
        <f>_xlfn.IFNA(IF(INDEX(製品仕様マスタ!C:C,MATCH(W2Pデータ貼り付け!T133,製品仕様マスタ!B:B,0))=0,"",INDEX(製品仕様マスタ!C:C,MATCH(W2Pデータ貼り付け!T133,製品仕様マスタ!B:B,0))),"")</f>
        <v/>
      </c>
      <c r="AJ133" s="15" t="str">
        <f>_xlfn.IFNA(IF(INDEX(製品仕様マスタ!AK:AK,MATCH(W2Pデータ貼り付け!T133,製品仕様マスタ!B:B,0))=0,"",INDEX(製品仕様マスタ!AK:AK,MATCH(W2Pデータ貼り付け!T133,製品仕様マスタ!B:B,0))),"")</f>
        <v/>
      </c>
      <c r="AK133" s="198" t="str">
        <f>_xlfn.IFNA(IF(INDEX(製品仕様マスタ!AY:AY,MATCH(W2Pデータ貼り付け!T133,製品仕様マスタ!B:B,0))=0,"",IF(INDEX(製品仕様マスタ!AY:AY,MATCH(W2Pデータ貼り付け!T133,製品仕様マスタ!B:B,0)) &lt;&gt; "-",INDEX(製品仕様マスタ!AY:AY,MATCH(W2Pデータ貼り付け!T133,製品仕様マスタ!B:B,0)),INDEX(製品仕様マスタ!AZ$1:BZ$500,MATCH(W2Pデータ貼り付け!T133,製品仕様マスタ!B:B,0),MATCH(W2Pデータ貼り付け!V133,製品仕様マスタ!AZ$1:BZ$1,0)))),"")</f>
        <v/>
      </c>
      <c r="AL133" s="15" t="str">
        <f t="shared" si="2"/>
        <v/>
      </c>
      <c r="AM133" s="15" t="str">
        <f>IF(AF133&lt;&gt;"",IF(ISNUMBER(T133),COUNT(AM$2:AM132)+1,""),"")</f>
        <v/>
      </c>
    </row>
    <row r="134" spans="35:39" ht="14.1" customHeight="1" x14ac:dyDescent="0.15">
      <c r="AI134" s="15" t="str">
        <f>_xlfn.IFNA(IF(INDEX(製品仕様マスタ!C:C,MATCH(W2Pデータ貼り付け!T134,製品仕様マスタ!B:B,0))=0,"",INDEX(製品仕様マスタ!C:C,MATCH(W2Pデータ貼り付け!T134,製品仕様マスタ!B:B,0))),"")</f>
        <v/>
      </c>
      <c r="AJ134" s="15" t="str">
        <f>_xlfn.IFNA(IF(INDEX(製品仕様マスタ!AK:AK,MATCH(W2Pデータ貼り付け!T134,製品仕様マスタ!B:B,0))=0,"",INDEX(製品仕様マスタ!AK:AK,MATCH(W2Pデータ貼り付け!T134,製品仕様マスタ!B:B,0))),"")</f>
        <v/>
      </c>
      <c r="AK134" s="198" t="str">
        <f>_xlfn.IFNA(IF(INDEX(製品仕様マスタ!AY:AY,MATCH(W2Pデータ貼り付け!T134,製品仕様マスタ!B:B,0))=0,"",IF(INDEX(製品仕様マスタ!AY:AY,MATCH(W2Pデータ貼り付け!T134,製品仕様マスタ!B:B,0)) &lt;&gt; "-",INDEX(製品仕様マスタ!AY:AY,MATCH(W2Pデータ貼り付け!T134,製品仕様マスタ!B:B,0)),INDEX(製品仕様マスタ!AZ$1:BZ$500,MATCH(W2Pデータ貼り付け!T134,製品仕様マスタ!B:B,0),MATCH(W2Pデータ貼り付け!V134,製品仕様マスタ!AZ$1:BZ$1,0)))),"")</f>
        <v/>
      </c>
      <c r="AL134" s="15" t="str">
        <f t="shared" si="2"/>
        <v/>
      </c>
      <c r="AM134" s="15" t="str">
        <f>IF(AF134&lt;&gt;"",IF(ISNUMBER(T134),COUNT(AM$2:AM133)+1,""),"")</f>
        <v/>
      </c>
    </row>
    <row r="135" spans="35:39" ht="14.1" customHeight="1" x14ac:dyDescent="0.15">
      <c r="AI135" s="15" t="str">
        <f>_xlfn.IFNA(IF(INDEX(製品仕様マスタ!C:C,MATCH(W2Pデータ貼り付け!T135,製品仕様マスタ!B:B,0))=0,"",INDEX(製品仕様マスタ!C:C,MATCH(W2Pデータ貼り付け!T135,製品仕様マスタ!B:B,0))),"")</f>
        <v/>
      </c>
      <c r="AJ135" s="15" t="str">
        <f>_xlfn.IFNA(IF(INDEX(製品仕様マスタ!AK:AK,MATCH(W2Pデータ貼り付け!T135,製品仕様マスタ!B:B,0))=0,"",INDEX(製品仕様マスタ!AK:AK,MATCH(W2Pデータ貼り付け!T135,製品仕様マスタ!B:B,0))),"")</f>
        <v/>
      </c>
      <c r="AK135" s="198" t="str">
        <f>_xlfn.IFNA(IF(INDEX(製品仕様マスタ!AY:AY,MATCH(W2Pデータ貼り付け!T135,製品仕様マスタ!B:B,0))=0,"",IF(INDEX(製品仕様マスタ!AY:AY,MATCH(W2Pデータ貼り付け!T135,製品仕様マスタ!B:B,0)) &lt;&gt; "-",INDEX(製品仕様マスタ!AY:AY,MATCH(W2Pデータ貼り付け!T135,製品仕様マスタ!B:B,0)),INDEX(製品仕様マスタ!AZ$1:BZ$500,MATCH(W2Pデータ貼り付け!T135,製品仕様マスタ!B:B,0),MATCH(W2Pデータ貼り付け!V135,製品仕様マスタ!AZ$1:BZ$1,0)))),"")</f>
        <v/>
      </c>
      <c r="AL135" s="15" t="str">
        <f t="shared" si="2"/>
        <v/>
      </c>
      <c r="AM135" s="15" t="str">
        <f>IF(AF135&lt;&gt;"",IF(ISNUMBER(T135),COUNT(AM$2:AM134)+1,""),"")</f>
        <v/>
      </c>
    </row>
    <row r="136" spans="35:39" ht="14.1" customHeight="1" x14ac:dyDescent="0.15">
      <c r="AI136" s="15" t="str">
        <f>_xlfn.IFNA(IF(INDEX(製品仕様マスタ!C:C,MATCH(W2Pデータ貼り付け!T136,製品仕様マスタ!B:B,0))=0,"",INDEX(製品仕様マスタ!C:C,MATCH(W2Pデータ貼り付け!T136,製品仕様マスタ!B:B,0))),"")</f>
        <v/>
      </c>
      <c r="AJ136" s="15" t="str">
        <f>_xlfn.IFNA(IF(INDEX(製品仕様マスタ!AK:AK,MATCH(W2Pデータ貼り付け!T136,製品仕様マスタ!B:B,0))=0,"",INDEX(製品仕様マスタ!AK:AK,MATCH(W2Pデータ貼り付け!T136,製品仕様マスタ!B:B,0))),"")</f>
        <v/>
      </c>
      <c r="AK136" s="198" t="str">
        <f>_xlfn.IFNA(IF(INDEX(製品仕様マスタ!AY:AY,MATCH(W2Pデータ貼り付け!T136,製品仕様マスタ!B:B,0))=0,"",IF(INDEX(製品仕様マスタ!AY:AY,MATCH(W2Pデータ貼り付け!T136,製品仕様マスタ!B:B,0)) &lt;&gt; "-",INDEX(製品仕様マスタ!AY:AY,MATCH(W2Pデータ貼り付け!T136,製品仕様マスタ!B:B,0)),INDEX(製品仕様マスタ!AZ$1:BZ$500,MATCH(W2Pデータ貼り付け!T136,製品仕様マスタ!B:B,0),MATCH(W2Pデータ貼り付け!V136,製品仕様マスタ!AZ$1:BZ$1,0)))),"")</f>
        <v/>
      </c>
      <c r="AL136" s="15" t="str">
        <f t="shared" si="2"/>
        <v/>
      </c>
      <c r="AM136" s="15" t="str">
        <f>IF(AF136&lt;&gt;"",IF(ISNUMBER(T136),COUNT(AM$2:AM135)+1,""),"")</f>
        <v/>
      </c>
    </row>
    <row r="137" spans="35:39" ht="14.1" customHeight="1" x14ac:dyDescent="0.15">
      <c r="AI137" s="15" t="str">
        <f>_xlfn.IFNA(IF(INDEX(製品仕様マスタ!C:C,MATCH(W2Pデータ貼り付け!T137,製品仕様マスタ!B:B,0))=0,"",INDEX(製品仕様マスタ!C:C,MATCH(W2Pデータ貼り付け!T137,製品仕様マスタ!B:B,0))),"")</f>
        <v/>
      </c>
      <c r="AJ137" s="15" t="str">
        <f>_xlfn.IFNA(IF(INDEX(製品仕様マスタ!AK:AK,MATCH(W2Pデータ貼り付け!T137,製品仕様マスタ!B:B,0))=0,"",INDEX(製品仕様マスタ!AK:AK,MATCH(W2Pデータ貼り付け!T137,製品仕様マスタ!B:B,0))),"")</f>
        <v/>
      </c>
      <c r="AK137" s="198" t="str">
        <f>_xlfn.IFNA(IF(INDEX(製品仕様マスタ!AY:AY,MATCH(W2Pデータ貼り付け!T137,製品仕様マスタ!B:B,0))=0,"",IF(INDEX(製品仕様マスタ!AY:AY,MATCH(W2Pデータ貼り付け!T137,製品仕様マスタ!B:B,0)) &lt;&gt; "-",INDEX(製品仕様マスタ!AY:AY,MATCH(W2Pデータ貼り付け!T137,製品仕様マスタ!B:B,0)),INDEX(製品仕様マスタ!AZ$1:BZ$500,MATCH(W2Pデータ貼り付け!T137,製品仕様マスタ!B:B,0),MATCH(W2Pデータ貼り付け!V137,製品仕様マスタ!AZ$1:BZ$1,0)))),"")</f>
        <v/>
      </c>
      <c r="AL137" s="15" t="str">
        <f t="shared" si="2"/>
        <v/>
      </c>
      <c r="AM137" s="15" t="str">
        <f>IF(AF137&lt;&gt;"",IF(ISNUMBER(T137),COUNT(AM$2:AM136)+1,""),"")</f>
        <v/>
      </c>
    </row>
    <row r="138" spans="35:39" ht="14.1" customHeight="1" x14ac:dyDescent="0.15">
      <c r="AI138" s="15" t="str">
        <f>_xlfn.IFNA(IF(INDEX(製品仕様マスタ!C:C,MATCH(W2Pデータ貼り付け!T138,製品仕様マスタ!B:B,0))=0,"",INDEX(製品仕様マスタ!C:C,MATCH(W2Pデータ貼り付け!T138,製品仕様マスタ!B:B,0))),"")</f>
        <v/>
      </c>
      <c r="AJ138" s="15" t="str">
        <f>_xlfn.IFNA(IF(INDEX(製品仕様マスタ!AK:AK,MATCH(W2Pデータ貼り付け!T138,製品仕様マスタ!B:B,0))=0,"",INDEX(製品仕様マスタ!AK:AK,MATCH(W2Pデータ貼り付け!T138,製品仕様マスタ!B:B,0))),"")</f>
        <v/>
      </c>
      <c r="AK138" s="198" t="str">
        <f>_xlfn.IFNA(IF(INDEX(製品仕様マスタ!AY:AY,MATCH(W2Pデータ貼り付け!T138,製品仕様マスタ!B:B,0))=0,"",IF(INDEX(製品仕様マスタ!AY:AY,MATCH(W2Pデータ貼り付け!T138,製品仕様マスタ!B:B,0)) &lt;&gt; "-",INDEX(製品仕様マスタ!AY:AY,MATCH(W2Pデータ貼り付け!T138,製品仕様マスタ!B:B,0)),INDEX(製品仕様マスタ!AZ$1:BZ$500,MATCH(W2Pデータ貼り付け!T138,製品仕様マスタ!B:B,0),MATCH(W2Pデータ貼り付け!V138,製品仕様マスタ!AZ$1:BZ$1,0)))),"")</f>
        <v/>
      </c>
      <c r="AL138" s="15" t="str">
        <f t="shared" si="2"/>
        <v/>
      </c>
      <c r="AM138" s="15" t="str">
        <f>IF(AF138&lt;&gt;"",IF(ISNUMBER(T138),COUNT(AM$2:AM137)+1,""),"")</f>
        <v/>
      </c>
    </row>
    <row r="139" spans="35:39" ht="14.1" customHeight="1" x14ac:dyDescent="0.15">
      <c r="AI139" s="15" t="str">
        <f>_xlfn.IFNA(IF(INDEX(製品仕様マスタ!C:C,MATCH(W2Pデータ貼り付け!T139,製品仕様マスタ!B:B,0))=0,"",INDEX(製品仕様マスタ!C:C,MATCH(W2Pデータ貼り付け!T139,製品仕様マスタ!B:B,0))),"")</f>
        <v/>
      </c>
      <c r="AJ139" s="15" t="str">
        <f>_xlfn.IFNA(IF(INDEX(製品仕様マスタ!AK:AK,MATCH(W2Pデータ貼り付け!T139,製品仕様マスタ!B:B,0))=0,"",INDEX(製品仕様マスタ!AK:AK,MATCH(W2Pデータ貼り付け!T139,製品仕様マスタ!B:B,0))),"")</f>
        <v/>
      </c>
      <c r="AK139" s="198" t="str">
        <f>_xlfn.IFNA(IF(INDEX(製品仕様マスタ!AY:AY,MATCH(W2Pデータ貼り付け!T139,製品仕様マスタ!B:B,0))=0,"",IF(INDEX(製品仕様マスタ!AY:AY,MATCH(W2Pデータ貼り付け!T139,製品仕様マスタ!B:B,0)) &lt;&gt; "-",INDEX(製品仕様マスタ!AY:AY,MATCH(W2Pデータ貼り付け!T139,製品仕様マスタ!B:B,0)),INDEX(製品仕様マスタ!AZ$1:BZ$500,MATCH(W2Pデータ貼り付け!T139,製品仕様マスタ!B:B,0),MATCH(W2Pデータ貼り付け!V139,製品仕様マスタ!AZ$1:BZ$1,0)))),"")</f>
        <v/>
      </c>
      <c r="AL139" s="15" t="str">
        <f t="shared" si="2"/>
        <v/>
      </c>
      <c r="AM139" s="15" t="str">
        <f>IF(AF139&lt;&gt;"",IF(ISNUMBER(T139),COUNT(AM$2:AM138)+1,""),"")</f>
        <v/>
      </c>
    </row>
    <row r="140" spans="35:39" ht="14.1" customHeight="1" x14ac:dyDescent="0.15">
      <c r="AI140" s="15" t="str">
        <f>_xlfn.IFNA(IF(INDEX(製品仕様マスタ!C:C,MATCH(W2Pデータ貼り付け!T140,製品仕様マスタ!B:B,0))=0,"",INDEX(製品仕様マスタ!C:C,MATCH(W2Pデータ貼り付け!T140,製品仕様マスタ!B:B,0))),"")</f>
        <v/>
      </c>
      <c r="AJ140" s="15" t="str">
        <f>_xlfn.IFNA(IF(INDEX(製品仕様マスタ!AK:AK,MATCH(W2Pデータ貼り付け!T140,製品仕様マスタ!B:B,0))=0,"",INDEX(製品仕様マスタ!AK:AK,MATCH(W2Pデータ貼り付け!T140,製品仕様マスタ!B:B,0))),"")</f>
        <v/>
      </c>
      <c r="AK140" s="198" t="str">
        <f>_xlfn.IFNA(IF(INDEX(製品仕様マスタ!AY:AY,MATCH(W2Pデータ貼り付け!T140,製品仕様マスタ!B:B,0))=0,"",IF(INDEX(製品仕様マスタ!AY:AY,MATCH(W2Pデータ貼り付け!T140,製品仕様マスタ!B:B,0)) &lt;&gt; "-",INDEX(製品仕様マスタ!AY:AY,MATCH(W2Pデータ貼り付け!T140,製品仕様マスタ!B:B,0)),INDEX(製品仕様マスタ!AZ$1:BZ$500,MATCH(W2Pデータ貼り付け!T140,製品仕様マスタ!B:B,0),MATCH(W2Pデータ貼り付け!V140,製品仕様マスタ!AZ$1:BZ$1,0)))),"")</f>
        <v/>
      </c>
      <c r="AL140" s="15" t="str">
        <f t="shared" si="2"/>
        <v/>
      </c>
      <c r="AM140" s="15" t="str">
        <f>IF(AF140&lt;&gt;"",IF(ISNUMBER(T140),COUNT(AM$2:AM139)+1,""),"")</f>
        <v/>
      </c>
    </row>
    <row r="141" spans="35:39" ht="14.1" customHeight="1" x14ac:dyDescent="0.15">
      <c r="AI141" s="15" t="str">
        <f>_xlfn.IFNA(IF(INDEX(製品仕様マスタ!C:C,MATCH(W2Pデータ貼り付け!T141,製品仕様マスタ!B:B,0))=0,"",INDEX(製品仕様マスタ!C:C,MATCH(W2Pデータ貼り付け!T141,製品仕様マスタ!B:B,0))),"")</f>
        <v/>
      </c>
      <c r="AJ141" s="15" t="str">
        <f>_xlfn.IFNA(IF(INDEX(製品仕様マスタ!AK:AK,MATCH(W2Pデータ貼り付け!T141,製品仕様マスタ!B:B,0))=0,"",INDEX(製品仕様マスタ!AK:AK,MATCH(W2Pデータ貼り付け!T141,製品仕様マスタ!B:B,0))),"")</f>
        <v/>
      </c>
      <c r="AK141" s="198" t="str">
        <f>_xlfn.IFNA(IF(INDEX(製品仕様マスタ!AY:AY,MATCH(W2Pデータ貼り付け!T141,製品仕様マスタ!B:B,0))=0,"",IF(INDEX(製品仕様マスタ!AY:AY,MATCH(W2Pデータ貼り付け!T141,製品仕様マスタ!B:B,0)) &lt;&gt; "-",INDEX(製品仕様マスタ!AY:AY,MATCH(W2Pデータ貼り付け!T141,製品仕様マスタ!B:B,0)),INDEX(製品仕様マスタ!AZ$1:BZ$500,MATCH(W2Pデータ貼り付け!T141,製品仕様マスタ!B:B,0),MATCH(W2Pデータ貼り付け!V141,製品仕様マスタ!AZ$1:BZ$1,0)))),"")</f>
        <v/>
      </c>
      <c r="AL141" s="15" t="str">
        <f t="shared" si="2"/>
        <v/>
      </c>
      <c r="AM141" s="15" t="str">
        <f>IF(AF141&lt;&gt;"",IF(ISNUMBER(T141),COUNT(AM$2:AM140)+1,""),"")</f>
        <v/>
      </c>
    </row>
    <row r="142" spans="35:39" ht="14.1" customHeight="1" x14ac:dyDescent="0.15">
      <c r="AI142" s="15" t="str">
        <f>_xlfn.IFNA(IF(INDEX(製品仕様マスタ!C:C,MATCH(W2Pデータ貼り付け!T142,製品仕様マスタ!B:B,0))=0,"",INDEX(製品仕様マスタ!C:C,MATCH(W2Pデータ貼り付け!T142,製品仕様マスタ!B:B,0))),"")</f>
        <v/>
      </c>
      <c r="AJ142" s="15" t="str">
        <f>_xlfn.IFNA(IF(INDEX(製品仕様マスタ!AK:AK,MATCH(W2Pデータ貼り付け!T142,製品仕様マスタ!B:B,0))=0,"",INDEX(製品仕様マスタ!AK:AK,MATCH(W2Pデータ貼り付け!T142,製品仕様マスタ!B:B,0))),"")</f>
        <v/>
      </c>
      <c r="AK142" s="198" t="str">
        <f>_xlfn.IFNA(IF(INDEX(製品仕様マスタ!AY:AY,MATCH(W2Pデータ貼り付け!T142,製品仕様マスタ!B:B,0))=0,"",IF(INDEX(製品仕様マスタ!AY:AY,MATCH(W2Pデータ貼り付け!T142,製品仕様マスタ!B:B,0)) &lt;&gt; "-",INDEX(製品仕様マスタ!AY:AY,MATCH(W2Pデータ貼り付け!T142,製品仕様マスタ!B:B,0)),INDEX(製品仕様マスタ!AZ$1:BZ$500,MATCH(W2Pデータ貼り付け!T142,製品仕様マスタ!B:B,0),MATCH(W2Pデータ貼り付け!V142,製品仕様マスタ!AZ$1:BZ$1,0)))),"")</f>
        <v/>
      </c>
      <c r="AL142" s="15" t="str">
        <f t="shared" si="2"/>
        <v/>
      </c>
      <c r="AM142" s="15" t="str">
        <f>IF(AF142&lt;&gt;"",IF(ISNUMBER(T142),COUNT(AM$2:AM141)+1,""),"")</f>
        <v/>
      </c>
    </row>
    <row r="143" spans="35:39" ht="14.1" customHeight="1" x14ac:dyDescent="0.15">
      <c r="AI143" s="15" t="str">
        <f>_xlfn.IFNA(IF(INDEX(製品仕様マスタ!C:C,MATCH(W2Pデータ貼り付け!T143,製品仕様マスタ!B:B,0))=0,"",INDEX(製品仕様マスタ!C:C,MATCH(W2Pデータ貼り付け!T143,製品仕様マスタ!B:B,0))),"")</f>
        <v/>
      </c>
      <c r="AJ143" s="15" t="str">
        <f>_xlfn.IFNA(IF(INDEX(製品仕様マスタ!AK:AK,MATCH(W2Pデータ貼り付け!T143,製品仕様マスタ!B:B,0))=0,"",INDEX(製品仕様マスタ!AK:AK,MATCH(W2Pデータ貼り付け!T143,製品仕様マスタ!B:B,0))),"")</f>
        <v/>
      </c>
      <c r="AK143" s="198" t="str">
        <f>_xlfn.IFNA(IF(INDEX(製品仕様マスタ!AY:AY,MATCH(W2Pデータ貼り付け!T143,製品仕様マスタ!B:B,0))=0,"",IF(INDEX(製品仕様マスタ!AY:AY,MATCH(W2Pデータ貼り付け!T143,製品仕様マスタ!B:B,0)) &lt;&gt; "-",INDEX(製品仕様マスタ!AY:AY,MATCH(W2Pデータ貼り付け!T143,製品仕様マスタ!B:B,0)),INDEX(製品仕様マスタ!AZ$1:BZ$500,MATCH(W2Pデータ貼り付け!T143,製品仕様マスタ!B:B,0),MATCH(W2Pデータ貼り付け!V143,製品仕様マスタ!AZ$1:BZ$1,0)))),"")</f>
        <v/>
      </c>
      <c r="AL143" s="15" t="str">
        <f t="shared" si="2"/>
        <v/>
      </c>
      <c r="AM143" s="15" t="str">
        <f>IF(AF143&lt;&gt;"",IF(ISNUMBER(T143),COUNT(AM$2:AM142)+1,""),"")</f>
        <v/>
      </c>
    </row>
    <row r="144" spans="35:39" ht="14.1" customHeight="1" x14ac:dyDescent="0.15">
      <c r="AI144" s="15" t="str">
        <f>_xlfn.IFNA(IF(INDEX(製品仕様マスタ!C:C,MATCH(W2Pデータ貼り付け!T144,製品仕様マスタ!B:B,0))=0,"",INDEX(製品仕様マスタ!C:C,MATCH(W2Pデータ貼り付け!T144,製品仕様マスタ!B:B,0))),"")</f>
        <v/>
      </c>
      <c r="AJ144" s="15" t="str">
        <f>_xlfn.IFNA(IF(INDEX(製品仕様マスタ!AK:AK,MATCH(W2Pデータ貼り付け!T144,製品仕様マスタ!B:B,0))=0,"",INDEX(製品仕様マスタ!AK:AK,MATCH(W2Pデータ貼り付け!T144,製品仕様マスタ!B:B,0))),"")</f>
        <v/>
      </c>
      <c r="AK144" s="198" t="str">
        <f>_xlfn.IFNA(IF(INDEX(製品仕様マスタ!AY:AY,MATCH(W2Pデータ貼り付け!T144,製品仕様マスタ!B:B,0))=0,"",IF(INDEX(製品仕様マスタ!AY:AY,MATCH(W2Pデータ貼り付け!T144,製品仕様マスタ!B:B,0)) &lt;&gt; "-",INDEX(製品仕様マスタ!AY:AY,MATCH(W2Pデータ貼り付け!T144,製品仕様マスタ!B:B,0)),INDEX(製品仕様マスタ!AZ$1:BZ$500,MATCH(W2Pデータ貼り付け!T144,製品仕様マスタ!B:B,0),MATCH(W2Pデータ貼り付け!V144,製品仕様マスタ!AZ$1:BZ$1,0)))),"")</f>
        <v/>
      </c>
      <c r="AL144" s="15" t="str">
        <f t="shared" si="2"/>
        <v/>
      </c>
      <c r="AM144" s="15" t="str">
        <f>IF(AF144&lt;&gt;"",IF(ISNUMBER(T144),COUNT(AM$2:AM143)+1,""),"")</f>
        <v/>
      </c>
    </row>
    <row r="145" spans="35:39" ht="14.1" customHeight="1" x14ac:dyDescent="0.15">
      <c r="AI145" s="15" t="str">
        <f>_xlfn.IFNA(IF(INDEX(製品仕様マスタ!C:C,MATCH(W2Pデータ貼り付け!T145,製品仕様マスタ!B:B,0))=0,"",INDEX(製品仕様マスタ!C:C,MATCH(W2Pデータ貼り付け!T145,製品仕様マスタ!B:B,0))),"")</f>
        <v/>
      </c>
      <c r="AJ145" s="15" t="str">
        <f>_xlfn.IFNA(IF(INDEX(製品仕様マスタ!AK:AK,MATCH(W2Pデータ貼り付け!T145,製品仕様マスタ!B:B,0))=0,"",INDEX(製品仕様マスタ!AK:AK,MATCH(W2Pデータ貼り付け!T145,製品仕様マスタ!B:B,0))),"")</f>
        <v/>
      </c>
      <c r="AK145" s="198" t="str">
        <f>_xlfn.IFNA(IF(INDEX(製品仕様マスタ!AY:AY,MATCH(W2Pデータ貼り付け!T145,製品仕様マスタ!B:B,0))=0,"",IF(INDEX(製品仕様マスタ!AY:AY,MATCH(W2Pデータ貼り付け!T145,製品仕様マスタ!B:B,0)) &lt;&gt; "-",INDEX(製品仕様マスタ!AY:AY,MATCH(W2Pデータ貼り付け!T145,製品仕様マスタ!B:B,0)),INDEX(製品仕様マスタ!AZ$1:BZ$500,MATCH(W2Pデータ貼り付け!T145,製品仕様マスタ!B:B,0),MATCH(W2Pデータ貼り付け!V145,製品仕様マスタ!AZ$1:BZ$1,0)))),"")</f>
        <v/>
      </c>
      <c r="AL145" s="15" t="str">
        <f t="shared" si="2"/>
        <v/>
      </c>
      <c r="AM145" s="15" t="str">
        <f>IF(AF145&lt;&gt;"",IF(ISNUMBER(T145),COUNT(AM$2:AM144)+1,""),"")</f>
        <v/>
      </c>
    </row>
    <row r="146" spans="35:39" ht="14.1" customHeight="1" x14ac:dyDescent="0.15">
      <c r="AI146" s="15" t="str">
        <f>_xlfn.IFNA(IF(INDEX(製品仕様マスタ!C:C,MATCH(W2Pデータ貼り付け!T146,製品仕様マスタ!B:B,0))=0,"",INDEX(製品仕様マスタ!C:C,MATCH(W2Pデータ貼り付け!T146,製品仕様マスタ!B:B,0))),"")</f>
        <v/>
      </c>
      <c r="AJ146" s="15" t="str">
        <f>_xlfn.IFNA(IF(INDEX(製品仕様マスタ!AK:AK,MATCH(W2Pデータ貼り付け!T146,製品仕様マスタ!B:B,0))=0,"",INDEX(製品仕様マスタ!AK:AK,MATCH(W2Pデータ貼り付け!T146,製品仕様マスタ!B:B,0))),"")</f>
        <v/>
      </c>
      <c r="AK146" s="198" t="str">
        <f>_xlfn.IFNA(IF(INDEX(製品仕様マスタ!AY:AY,MATCH(W2Pデータ貼り付け!T146,製品仕様マスタ!B:B,0))=0,"",IF(INDEX(製品仕様マスタ!AY:AY,MATCH(W2Pデータ貼り付け!T146,製品仕様マスタ!B:B,0)) &lt;&gt; "-",INDEX(製品仕様マスタ!AY:AY,MATCH(W2Pデータ貼り付け!T146,製品仕様マスタ!B:B,0)),INDEX(製品仕様マスタ!AZ$1:BZ$500,MATCH(W2Pデータ貼り付け!T146,製品仕様マスタ!B:B,0),MATCH(W2Pデータ貼り付け!V146,製品仕様マスタ!AZ$1:BZ$1,0)))),"")</f>
        <v/>
      </c>
      <c r="AL146" s="15" t="str">
        <f t="shared" si="2"/>
        <v/>
      </c>
      <c r="AM146" s="15" t="str">
        <f>IF(AF146&lt;&gt;"",IF(ISNUMBER(T146),COUNT(AM$2:AM145)+1,""),"")</f>
        <v/>
      </c>
    </row>
    <row r="147" spans="35:39" ht="14.1" customHeight="1" x14ac:dyDescent="0.15">
      <c r="AI147" s="15" t="str">
        <f>_xlfn.IFNA(IF(INDEX(製品仕様マスタ!C:C,MATCH(W2Pデータ貼り付け!T147,製品仕様マスタ!B:B,0))=0,"",INDEX(製品仕様マスタ!C:C,MATCH(W2Pデータ貼り付け!T147,製品仕様マスタ!B:B,0))),"")</f>
        <v/>
      </c>
      <c r="AJ147" s="15" t="str">
        <f>_xlfn.IFNA(IF(INDEX(製品仕様マスタ!AK:AK,MATCH(W2Pデータ貼り付け!T147,製品仕様マスタ!B:B,0))=0,"",INDEX(製品仕様マスタ!AK:AK,MATCH(W2Pデータ貼り付け!T147,製品仕様マスタ!B:B,0))),"")</f>
        <v/>
      </c>
      <c r="AK147" s="198" t="str">
        <f>_xlfn.IFNA(IF(INDEX(製品仕様マスタ!AY:AY,MATCH(W2Pデータ貼り付け!T147,製品仕様マスタ!B:B,0))=0,"",IF(INDEX(製品仕様マスタ!AY:AY,MATCH(W2Pデータ貼り付け!T147,製品仕様マスタ!B:B,0)) &lt;&gt; "-",INDEX(製品仕様マスタ!AY:AY,MATCH(W2Pデータ貼り付け!T147,製品仕様マスタ!B:B,0)),INDEX(製品仕様マスタ!AZ$1:BZ$500,MATCH(W2Pデータ貼り付け!T147,製品仕様マスタ!B:B,0),MATCH(W2Pデータ貼り付け!V147,製品仕様マスタ!AZ$1:BZ$1,0)))),"")</f>
        <v/>
      </c>
      <c r="AL147" s="15" t="str">
        <f t="shared" si="2"/>
        <v/>
      </c>
      <c r="AM147" s="15" t="str">
        <f>IF(AF147&lt;&gt;"",IF(ISNUMBER(T147),COUNT(AM$2:AM146)+1,""),"")</f>
        <v/>
      </c>
    </row>
    <row r="148" spans="35:39" ht="14.1" customHeight="1" x14ac:dyDescent="0.15">
      <c r="AI148" s="15" t="str">
        <f>_xlfn.IFNA(IF(INDEX(製品仕様マスタ!C:C,MATCH(W2Pデータ貼り付け!T148,製品仕様マスタ!B:B,0))=0,"",INDEX(製品仕様マスタ!C:C,MATCH(W2Pデータ貼り付け!T148,製品仕様マスタ!B:B,0))),"")</f>
        <v/>
      </c>
      <c r="AJ148" s="15" t="str">
        <f>_xlfn.IFNA(IF(INDEX(製品仕様マスタ!AK:AK,MATCH(W2Pデータ貼り付け!T148,製品仕様マスタ!B:B,0))=0,"",INDEX(製品仕様マスタ!AK:AK,MATCH(W2Pデータ貼り付け!T148,製品仕様マスタ!B:B,0))),"")</f>
        <v/>
      </c>
      <c r="AK148" s="198" t="str">
        <f>_xlfn.IFNA(IF(INDEX(製品仕様マスタ!AY:AY,MATCH(W2Pデータ貼り付け!T148,製品仕様マスタ!B:B,0))=0,"",IF(INDEX(製品仕様マスタ!AY:AY,MATCH(W2Pデータ貼り付け!T148,製品仕様マスタ!B:B,0)) &lt;&gt; "-",INDEX(製品仕様マスタ!AY:AY,MATCH(W2Pデータ貼り付け!T148,製品仕様マスタ!B:B,0)),INDEX(製品仕様マスタ!AZ$1:BZ$500,MATCH(W2Pデータ貼り付け!T148,製品仕様マスタ!B:B,0),MATCH(W2Pデータ貼り付け!V148,製品仕様マスタ!AZ$1:BZ$1,0)))),"")</f>
        <v/>
      </c>
      <c r="AL148" s="15" t="str">
        <f t="shared" si="2"/>
        <v/>
      </c>
      <c r="AM148" s="15" t="str">
        <f>IF(AF148&lt;&gt;"",IF(ISNUMBER(T148),COUNT(AM$2:AM147)+1,""),"")</f>
        <v/>
      </c>
    </row>
    <row r="149" spans="35:39" ht="14.1" customHeight="1" x14ac:dyDescent="0.15">
      <c r="AI149" s="15" t="str">
        <f>_xlfn.IFNA(IF(INDEX(製品仕様マスタ!C:C,MATCH(W2Pデータ貼り付け!T149,製品仕様マスタ!B:B,0))=0,"",INDEX(製品仕様マスタ!C:C,MATCH(W2Pデータ貼り付け!T149,製品仕様マスタ!B:B,0))),"")</f>
        <v/>
      </c>
      <c r="AJ149" s="15" t="str">
        <f>_xlfn.IFNA(IF(INDEX(製品仕様マスタ!AK:AK,MATCH(W2Pデータ貼り付け!T149,製品仕様マスタ!B:B,0))=0,"",INDEX(製品仕様マスタ!AK:AK,MATCH(W2Pデータ貼り付け!T149,製品仕様マスタ!B:B,0))),"")</f>
        <v/>
      </c>
      <c r="AK149" s="198" t="str">
        <f>_xlfn.IFNA(IF(INDEX(製品仕様マスタ!AY:AY,MATCH(W2Pデータ貼り付け!T149,製品仕様マスタ!B:B,0))=0,"",IF(INDEX(製品仕様マスタ!AY:AY,MATCH(W2Pデータ貼り付け!T149,製品仕様マスタ!B:B,0)) &lt;&gt; "-",INDEX(製品仕様マスタ!AY:AY,MATCH(W2Pデータ貼り付け!T149,製品仕様マスタ!B:B,0)),INDEX(製品仕様マスタ!AZ$1:BZ$500,MATCH(W2Pデータ貼り付け!T149,製品仕様マスタ!B:B,0),MATCH(W2Pデータ貼り付け!V149,製品仕様マスタ!AZ$1:BZ$1,0)))),"")</f>
        <v/>
      </c>
      <c r="AL149" s="15" t="str">
        <f t="shared" si="2"/>
        <v/>
      </c>
      <c r="AM149" s="15" t="str">
        <f>IF(AF149&lt;&gt;"",IF(ISNUMBER(T149),COUNT(AM$2:AM148)+1,""),"")</f>
        <v/>
      </c>
    </row>
    <row r="150" spans="35:39" ht="14.1" customHeight="1" x14ac:dyDescent="0.15">
      <c r="AI150" s="15" t="str">
        <f>_xlfn.IFNA(IF(INDEX(製品仕様マスタ!C:C,MATCH(W2Pデータ貼り付け!T150,製品仕様マスタ!B:B,0))=0,"",INDEX(製品仕様マスタ!C:C,MATCH(W2Pデータ貼り付け!T150,製品仕様マスタ!B:B,0))),"")</f>
        <v/>
      </c>
      <c r="AJ150" s="15" t="str">
        <f>_xlfn.IFNA(IF(INDEX(製品仕様マスタ!AK:AK,MATCH(W2Pデータ貼り付け!T150,製品仕様マスタ!B:B,0))=0,"",INDEX(製品仕様マスタ!AK:AK,MATCH(W2Pデータ貼り付け!T150,製品仕様マスタ!B:B,0))),"")</f>
        <v/>
      </c>
      <c r="AK150" s="198" t="str">
        <f>_xlfn.IFNA(IF(INDEX(製品仕様マスタ!AY:AY,MATCH(W2Pデータ貼り付け!T150,製品仕様マスタ!B:B,0))=0,"",IF(INDEX(製品仕様マスタ!AY:AY,MATCH(W2Pデータ貼り付け!T150,製品仕様マスタ!B:B,0)) &lt;&gt; "-",INDEX(製品仕様マスタ!AY:AY,MATCH(W2Pデータ貼り付け!T150,製品仕様マスタ!B:B,0)),INDEX(製品仕様マスタ!AZ$1:BZ$500,MATCH(W2Pデータ貼り付け!T150,製品仕様マスタ!B:B,0),MATCH(W2Pデータ貼り付け!V150,製品仕様マスタ!AZ$1:BZ$1,0)))),"")</f>
        <v/>
      </c>
      <c r="AL150" s="15" t="str">
        <f t="shared" si="2"/>
        <v/>
      </c>
      <c r="AM150" s="15" t="str">
        <f>IF(AF150&lt;&gt;"",IF(ISNUMBER(T150),COUNT(AM$2:AM149)+1,""),"")</f>
        <v/>
      </c>
    </row>
    <row r="151" spans="35:39" ht="14.1" customHeight="1" x14ac:dyDescent="0.15">
      <c r="AI151" s="15" t="str">
        <f>_xlfn.IFNA(IF(INDEX(製品仕様マスタ!C:C,MATCH(W2Pデータ貼り付け!T151,製品仕様マスタ!B:B,0))=0,"",INDEX(製品仕様マスタ!C:C,MATCH(W2Pデータ貼り付け!T151,製品仕様マスタ!B:B,0))),"")</f>
        <v/>
      </c>
      <c r="AJ151" s="15" t="str">
        <f>_xlfn.IFNA(IF(INDEX(製品仕様マスタ!AK:AK,MATCH(W2Pデータ貼り付け!T151,製品仕様マスタ!B:B,0))=0,"",INDEX(製品仕様マスタ!AK:AK,MATCH(W2Pデータ貼り付け!T151,製品仕様マスタ!B:B,0))),"")</f>
        <v/>
      </c>
      <c r="AK151" s="198" t="str">
        <f>_xlfn.IFNA(IF(INDEX(製品仕様マスタ!AY:AY,MATCH(W2Pデータ貼り付け!T151,製品仕様マスタ!B:B,0))=0,"",IF(INDEX(製品仕様マスタ!AY:AY,MATCH(W2Pデータ貼り付け!T151,製品仕様マスタ!B:B,0)) &lt;&gt; "-",INDEX(製品仕様マスタ!AY:AY,MATCH(W2Pデータ貼り付け!T151,製品仕様マスタ!B:B,0)),INDEX(製品仕様マスタ!AZ$1:BZ$500,MATCH(W2Pデータ貼り付け!T151,製品仕様マスタ!B:B,0),MATCH(W2Pデータ貼り付け!V151,製品仕様マスタ!AZ$1:BZ$1,0)))),"")</f>
        <v/>
      </c>
      <c r="AL151" s="15" t="str">
        <f t="shared" si="2"/>
        <v/>
      </c>
      <c r="AM151" s="15" t="str">
        <f>IF(AF151&lt;&gt;"",IF(ISNUMBER(T151),COUNT(AM$2:AM150)+1,""),"")</f>
        <v/>
      </c>
    </row>
    <row r="152" spans="35:39" ht="14.1" customHeight="1" x14ac:dyDescent="0.15">
      <c r="AI152" s="15" t="str">
        <f>_xlfn.IFNA(IF(INDEX(製品仕様マスタ!C:C,MATCH(W2Pデータ貼り付け!T152,製品仕様マスタ!B:B,0))=0,"",INDEX(製品仕様マスタ!C:C,MATCH(W2Pデータ貼り付け!T152,製品仕様マスタ!B:B,0))),"")</f>
        <v/>
      </c>
      <c r="AJ152" s="15" t="str">
        <f>_xlfn.IFNA(IF(INDEX(製品仕様マスタ!AK:AK,MATCH(W2Pデータ貼り付け!T152,製品仕様マスタ!B:B,0))=0,"",INDEX(製品仕様マスタ!AK:AK,MATCH(W2Pデータ貼り付け!T152,製品仕様マスタ!B:B,0))),"")</f>
        <v/>
      </c>
      <c r="AK152" s="198" t="str">
        <f>_xlfn.IFNA(IF(INDEX(製品仕様マスタ!AY:AY,MATCH(W2Pデータ貼り付け!T152,製品仕様マスタ!B:B,0))=0,"",IF(INDEX(製品仕様マスタ!AY:AY,MATCH(W2Pデータ貼り付け!T152,製品仕様マスタ!B:B,0)) &lt;&gt; "-",INDEX(製品仕様マスタ!AY:AY,MATCH(W2Pデータ貼り付け!T152,製品仕様マスタ!B:B,0)),INDEX(製品仕様マスタ!AZ$1:BZ$500,MATCH(W2Pデータ貼り付け!T152,製品仕様マスタ!B:B,0),MATCH(W2Pデータ貼り付け!V152,製品仕様マスタ!AZ$1:BZ$1,0)))),"")</f>
        <v/>
      </c>
      <c r="AL152" s="15" t="str">
        <f t="shared" si="2"/>
        <v/>
      </c>
      <c r="AM152" s="15" t="str">
        <f>IF(AF152&lt;&gt;"",IF(ISNUMBER(T152),COUNT(AM$2:AM151)+1,""),"")</f>
        <v/>
      </c>
    </row>
    <row r="153" spans="35:39" ht="14.1" customHeight="1" x14ac:dyDescent="0.15">
      <c r="AI153" s="15" t="str">
        <f>_xlfn.IFNA(IF(INDEX(製品仕様マスタ!C:C,MATCH(W2Pデータ貼り付け!T153,製品仕様マスタ!B:B,0))=0,"",INDEX(製品仕様マスタ!C:C,MATCH(W2Pデータ貼り付け!T153,製品仕様マスタ!B:B,0))),"")</f>
        <v/>
      </c>
      <c r="AJ153" s="15" t="str">
        <f>_xlfn.IFNA(IF(INDEX(製品仕様マスタ!AK:AK,MATCH(W2Pデータ貼り付け!T153,製品仕様マスタ!B:B,0))=0,"",INDEX(製品仕様マスタ!AK:AK,MATCH(W2Pデータ貼り付け!T153,製品仕様マスタ!B:B,0))),"")</f>
        <v/>
      </c>
      <c r="AK153" s="198" t="str">
        <f>_xlfn.IFNA(IF(INDEX(製品仕様マスタ!AY:AY,MATCH(W2Pデータ貼り付け!T153,製品仕様マスタ!B:B,0))=0,"",IF(INDEX(製品仕様マスタ!AY:AY,MATCH(W2Pデータ貼り付け!T153,製品仕様マスタ!B:B,0)) &lt;&gt; "-",INDEX(製品仕様マスタ!AY:AY,MATCH(W2Pデータ貼り付け!T153,製品仕様マスタ!B:B,0)),INDEX(製品仕様マスタ!AZ$1:BZ$500,MATCH(W2Pデータ貼り付け!T153,製品仕様マスタ!B:B,0),MATCH(W2Pデータ貼り付け!V153,製品仕様マスタ!AZ$1:BZ$1,0)))),"")</f>
        <v/>
      </c>
      <c r="AL153" s="15" t="str">
        <f t="shared" si="2"/>
        <v/>
      </c>
      <c r="AM153" s="15" t="str">
        <f>IF(AF153&lt;&gt;"",IF(ISNUMBER(T153),COUNT(AM$2:AM152)+1,""),"")</f>
        <v/>
      </c>
    </row>
    <row r="154" spans="35:39" ht="14.1" customHeight="1" x14ac:dyDescent="0.15">
      <c r="AI154" s="15" t="str">
        <f>_xlfn.IFNA(IF(INDEX(製品仕様マスタ!C:C,MATCH(W2Pデータ貼り付け!T154,製品仕様マスタ!B:B,0))=0,"",INDEX(製品仕様マスタ!C:C,MATCH(W2Pデータ貼り付け!T154,製品仕様マスタ!B:B,0))),"")</f>
        <v/>
      </c>
      <c r="AJ154" s="15" t="str">
        <f>_xlfn.IFNA(IF(INDEX(製品仕様マスタ!AK:AK,MATCH(W2Pデータ貼り付け!T154,製品仕様マスタ!B:B,0))=0,"",INDEX(製品仕様マスタ!AK:AK,MATCH(W2Pデータ貼り付け!T154,製品仕様マスタ!B:B,0))),"")</f>
        <v/>
      </c>
      <c r="AK154" s="198" t="str">
        <f>_xlfn.IFNA(IF(INDEX(製品仕様マスタ!AY:AY,MATCH(W2Pデータ貼り付け!T154,製品仕様マスタ!B:B,0))=0,"",IF(INDEX(製品仕様マスタ!AY:AY,MATCH(W2Pデータ貼り付け!T154,製品仕様マスタ!B:B,0)) &lt;&gt; "-",INDEX(製品仕様マスタ!AY:AY,MATCH(W2Pデータ貼り付け!T154,製品仕様マスタ!B:B,0)),INDEX(製品仕様マスタ!AZ$1:BZ$500,MATCH(W2Pデータ貼り付け!T154,製品仕様マスタ!B:B,0),MATCH(W2Pデータ貼り付け!V154,製品仕様マスタ!AZ$1:BZ$1,0)))),"")</f>
        <v/>
      </c>
      <c r="AL154" s="15" t="str">
        <f t="shared" si="2"/>
        <v/>
      </c>
      <c r="AM154" s="15" t="str">
        <f>IF(AF154&lt;&gt;"",IF(ISNUMBER(T154),COUNT(AM$2:AM153)+1,""),"")</f>
        <v/>
      </c>
    </row>
    <row r="155" spans="35:39" ht="14.1" customHeight="1" x14ac:dyDescent="0.15">
      <c r="AI155" s="15" t="str">
        <f>_xlfn.IFNA(IF(INDEX(製品仕様マスタ!C:C,MATCH(W2Pデータ貼り付け!T155,製品仕様マスタ!B:B,0))=0,"",INDEX(製品仕様マスタ!C:C,MATCH(W2Pデータ貼り付け!T155,製品仕様マスタ!B:B,0))),"")</f>
        <v/>
      </c>
      <c r="AJ155" s="15" t="str">
        <f>_xlfn.IFNA(IF(INDEX(製品仕様マスタ!AK:AK,MATCH(W2Pデータ貼り付け!T155,製品仕様マスタ!B:B,0))=0,"",INDEX(製品仕様マスタ!AK:AK,MATCH(W2Pデータ貼り付け!T155,製品仕様マスタ!B:B,0))),"")</f>
        <v/>
      </c>
      <c r="AK155" s="198" t="str">
        <f>_xlfn.IFNA(IF(INDEX(製品仕様マスタ!AY:AY,MATCH(W2Pデータ貼り付け!T155,製品仕様マスタ!B:B,0))=0,"",IF(INDEX(製品仕様マスタ!AY:AY,MATCH(W2Pデータ貼り付け!T155,製品仕様マスタ!B:B,0)) &lt;&gt; "-",INDEX(製品仕様マスタ!AY:AY,MATCH(W2Pデータ貼り付け!T155,製品仕様マスタ!B:B,0)),INDEX(製品仕様マスタ!AZ$1:BZ$500,MATCH(W2Pデータ貼り付け!T155,製品仕様マスタ!B:B,0),MATCH(W2Pデータ貼り付け!V155,製品仕様マスタ!AZ$1:BZ$1,0)))),"")</f>
        <v/>
      </c>
      <c r="AL155" s="15" t="str">
        <f t="shared" si="2"/>
        <v/>
      </c>
      <c r="AM155" s="15" t="str">
        <f>IF(AF155&lt;&gt;"",IF(ISNUMBER(T155),COUNT(AM$2:AM154)+1,""),"")</f>
        <v/>
      </c>
    </row>
    <row r="156" spans="35:39" ht="14.1" customHeight="1" x14ac:dyDescent="0.15">
      <c r="AI156" s="15" t="str">
        <f>_xlfn.IFNA(IF(INDEX(製品仕様マスタ!C:C,MATCH(W2Pデータ貼り付け!T156,製品仕様マスタ!B:B,0))=0,"",INDEX(製品仕様マスタ!C:C,MATCH(W2Pデータ貼り付け!T156,製品仕様マスタ!B:B,0))),"")</f>
        <v/>
      </c>
      <c r="AJ156" s="15" t="str">
        <f>_xlfn.IFNA(IF(INDEX(製品仕様マスタ!AK:AK,MATCH(W2Pデータ貼り付け!T156,製品仕様マスタ!B:B,0))=0,"",INDEX(製品仕様マスタ!AK:AK,MATCH(W2Pデータ貼り付け!T156,製品仕様マスタ!B:B,0))),"")</f>
        <v/>
      </c>
      <c r="AK156" s="198" t="str">
        <f>_xlfn.IFNA(IF(INDEX(製品仕様マスタ!AY:AY,MATCH(W2Pデータ貼り付け!T156,製品仕様マスタ!B:B,0))=0,"",IF(INDEX(製品仕様マスタ!AY:AY,MATCH(W2Pデータ貼り付け!T156,製品仕様マスタ!B:B,0)) &lt;&gt; "-",INDEX(製品仕様マスタ!AY:AY,MATCH(W2Pデータ貼り付け!T156,製品仕様マスタ!B:B,0)),INDEX(製品仕様マスタ!AZ$1:BZ$500,MATCH(W2Pデータ貼り付け!T156,製品仕様マスタ!B:B,0),MATCH(W2Pデータ貼り付け!V156,製品仕様マスタ!AZ$1:BZ$1,0)))),"")</f>
        <v/>
      </c>
      <c r="AL156" s="15" t="str">
        <f t="shared" si="2"/>
        <v/>
      </c>
      <c r="AM156" s="15" t="str">
        <f>IF(AF156&lt;&gt;"",IF(ISNUMBER(T156),COUNT(AM$2:AM155)+1,""),"")</f>
        <v/>
      </c>
    </row>
    <row r="157" spans="35:39" ht="14.1" customHeight="1" x14ac:dyDescent="0.15">
      <c r="AI157" s="15" t="str">
        <f>_xlfn.IFNA(IF(INDEX(製品仕様マスタ!C:C,MATCH(W2Pデータ貼り付け!T157,製品仕様マスタ!B:B,0))=0,"",INDEX(製品仕様マスタ!C:C,MATCH(W2Pデータ貼り付け!T157,製品仕様マスタ!B:B,0))),"")</f>
        <v/>
      </c>
      <c r="AJ157" s="15" t="str">
        <f>_xlfn.IFNA(IF(INDEX(製品仕様マスタ!AK:AK,MATCH(W2Pデータ貼り付け!T157,製品仕様マスタ!B:B,0))=0,"",INDEX(製品仕様マスタ!AK:AK,MATCH(W2Pデータ貼り付け!T157,製品仕様マスタ!B:B,0))),"")</f>
        <v/>
      </c>
      <c r="AK157" s="198" t="str">
        <f>_xlfn.IFNA(IF(INDEX(製品仕様マスタ!AY:AY,MATCH(W2Pデータ貼り付け!T157,製品仕様マスタ!B:B,0))=0,"",IF(INDEX(製品仕様マスタ!AY:AY,MATCH(W2Pデータ貼り付け!T157,製品仕様マスタ!B:B,0)) &lt;&gt; "-",INDEX(製品仕様マスタ!AY:AY,MATCH(W2Pデータ貼り付け!T157,製品仕様マスタ!B:B,0)),INDEX(製品仕様マスタ!AZ$1:BZ$500,MATCH(W2Pデータ貼り付け!T157,製品仕様マスタ!B:B,0),MATCH(W2Pデータ貼り付け!V157,製品仕様マスタ!AZ$1:BZ$1,0)))),"")</f>
        <v/>
      </c>
      <c r="AL157" s="15" t="str">
        <f t="shared" si="2"/>
        <v/>
      </c>
      <c r="AM157" s="15" t="str">
        <f>IF(AF157&lt;&gt;"",IF(ISNUMBER(T157),COUNT(AM$2:AM156)+1,""),"")</f>
        <v/>
      </c>
    </row>
    <row r="158" spans="35:39" ht="14.1" customHeight="1" x14ac:dyDescent="0.15">
      <c r="AI158" s="15" t="str">
        <f>_xlfn.IFNA(IF(INDEX(製品仕様マスタ!C:C,MATCH(W2Pデータ貼り付け!T158,製品仕様マスタ!B:B,0))=0,"",INDEX(製品仕様マスタ!C:C,MATCH(W2Pデータ貼り付け!T158,製品仕様マスタ!B:B,0))),"")</f>
        <v/>
      </c>
      <c r="AJ158" s="15" t="str">
        <f>_xlfn.IFNA(IF(INDEX(製品仕様マスタ!AK:AK,MATCH(W2Pデータ貼り付け!T158,製品仕様マスタ!B:B,0))=0,"",INDEX(製品仕様マスタ!AK:AK,MATCH(W2Pデータ貼り付け!T158,製品仕様マスタ!B:B,0))),"")</f>
        <v/>
      </c>
      <c r="AK158" s="198" t="str">
        <f>_xlfn.IFNA(IF(INDEX(製品仕様マスタ!AY:AY,MATCH(W2Pデータ貼り付け!T158,製品仕様マスタ!B:B,0))=0,"",IF(INDEX(製品仕様マスタ!AY:AY,MATCH(W2Pデータ貼り付け!T158,製品仕様マスタ!B:B,0)) &lt;&gt; "-",INDEX(製品仕様マスタ!AY:AY,MATCH(W2Pデータ貼り付け!T158,製品仕様マスタ!B:B,0)),INDEX(製品仕様マスタ!AZ$1:BZ$500,MATCH(W2Pデータ貼り付け!T158,製品仕様マスタ!B:B,0),MATCH(W2Pデータ貼り付け!V158,製品仕様マスタ!AZ$1:BZ$1,0)))),"")</f>
        <v/>
      </c>
      <c r="AL158" s="15" t="str">
        <f t="shared" si="2"/>
        <v/>
      </c>
      <c r="AM158" s="15" t="str">
        <f>IF(AF158&lt;&gt;"",IF(ISNUMBER(T158),COUNT(AM$2:AM157)+1,""),"")</f>
        <v/>
      </c>
    </row>
    <row r="159" spans="35:39" ht="14.1" customHeight="1" x14ac:dyDescent="0.15">
      <c r="AI159" s="15" t="str">
        <f>_xlfn.IFNA(IF(INDEX(製品仕様マスタ!C:C,MATCH(W2Pデータ貼り付け!T159,製品仕様マスタ!B:B,0))=0,"",INDEX(製品仕様マスタ!C:C,MATCH(W2Pデータ貼り付け!T159,製品仕様マスタ!B:B,0))),"")</f>
        <v/>
      </c>
      <c r="AJ159" s="15" t="str">
        <f>_xlfn.IFNA(IF(INDEX(製品仕様マスタ!AK:AK,MATCH(W2Pデータ貼り付け!T159,製品仕様マスタ!B:B,0))=0,"",INDEX(製品仕様マスタ!AK:AK,MATCH(W2Pデータ貼り付け!T159,製品仕様マスタ!B:B,0))),"")</f>
        <v/>
      </c>
      <c r="AK159" s="198" t="str">
        <f>_xlfn.IFNA(IF(INDEX(製品仕様マスタ!AY:AY,MATCH(W2Pデータ貼り付け!T159,製品仕様マスタ!B:B,0))=0,"",IF(INDEX(製品仕様マスタ!AY:AY,MATCH(W2Pデータ貼り付け!T159,製品仕様マスタ!B:B,0)) &lt;&gt; "-",INDEX(製品仕様マスタ!AY:AY,MATCH(W2Pデータ貼り付け!T159,製品仕様マスタ!B:B,0)),INDEX(製品仕様マスタ!AZ$1:BZ$500,MATCH(W2Pデータ貼り付け!T159,製品仕様マスタ!B:B,0),MATCH(W2Pデータ貼り付け!V159,製品仕様マスタ!AZ$1:BZ$1,0)))),"")</f>
        <v/>
      </c>
      <c r="AL159" s="15" t="str">
        <f t="shared" si="2"/>
        <v/>
      </c>
      <c r="AM159" s="15" t="str">
        <f>IF(AF159&lt;&gt;"",IF(ISNUMBER(T159),COUNT(AM$2:AM158)+1,""),"")</f>
        <v/>
      </c>
    </row>
    <row r="160" spans="35:39" ht="14.1" customHeight="1" x14ac:dyDescent="0.15">
      <c r="AI160" s="15" t="str">
        <f>_xlfn.IFNA(IF(INDEX(製品仕様マスタ!C:C,MATCH(W2Pデータ貼り付け!T160,製品仕様マスタ!B:B,0))=0,"",INDEX(製品仕様マスタ!C:C,MATCH(W2Pデータ貼り付け!T160,製品仕様マスタ!B:B,0))),"")</f>
        <v/>
      </c>
      <c r="AJ160" s="15" t="str">
        <f>_xlfn.IFNA(IF(INDEX(製品仕様マスタ!AK:AK,MATCH(W2Pデータ貼り付け!T160,製品仕様マスタ!B:B,0))=0,"",INDEX(製品仕様マスタ!AK:AK,MATCH(W2Pデータ貼り付け!T160,製品仕様マスタ!B:B,0))),"")</f>
        <v/>
      </c>
      <c r="AK160" s="198" t="str">
        <f>_xlfn.IFNA(IF(INDEX(製品仕様マスタ!AY:AY,MATCH(W2Pデータ貼り付け!T160,製品仕様マスタ!B:B,0))=0,"",IF(INDEX(製品仕様マスタ!AY:AY,MATCH(W2Pデータ貼り付け!T160,製品仕様マスタ!B:B,0)) &lt;&gt; "-",INDEX(製品仕様マスタ!AY:AY,MATCH(W2Pデータ貼り付け!T160,製品仕様マスタ!B:B,0)),INDEX(製品仕様マスタ!AZ$1:BZ$500,MATCH(W2Pデータ貼り付け!T160,製品仕様マスタ!B:B,0),MATCH(W2Pデータ貼り付け!V160,製品仕様マスタ!AZ$1:BZ$1,0)))),"")</f>
        <v/>
      </c>
      <c r="AL160" s="15" t="str">
        <f t="shared" si="2"/>
        <v/>
      </c>
      <c r="AM160" s="15" t="str">
        <f>IF(AF160&lt;&gt;"",IF(ISNUMBER(T160),COUNT(AM$2:AM159)+1,""),"")</f>
        <v/>
      </c>
    </row>
    <row r="161" spans="35:39" ht="14.1" customHeight="1" x14ac:dyDescent="0.15">
      <c r="AI161" s="15" t="str">
        <f>_xlfn.IFNA(IF(INDEX(製品仕様マスタ!C:C,MATCH(W2Pデータ貼り付け!T161,製品仕様マスタ!B:B,0))=0,"",INDEX(製品仕様マスタ!C:C,MATCH(W2Pデータ貼り付け!T161,製品仕様マスタ!B:B,0))),"")</f>
        <v/>
      </c>
      <c r="AJ161" s="15" t="str">
        <f>_xlfn.IFNA(IF(INDEX(製品仕様マスタ!AK:AK,MATCH(W2Pデータ貼り付け!T161,製品仕様マスタ!B:B,0))=0,"",INDEX(製品仕様マスタ!AK:AK,MATCH(W2Pデータ貼り付け!T161,製品仕様マスタ!B:B,0))),"")</f>
        <v/>
      </c>
      <c r="AK161" s="198" t="str">
        <f>_xlfn.IFNA(IF(INDEX(製品仕様マスタ!AY:AY,MATCH(W2Pデータ貼り付け!T161,製品仕様マスタ!B:B,0))=0,"",IF(INDEX(製品仕様マスタ!AY:AY,MATCH(W2Pデータ貼り付け!T161,製品仕様マスタ!B:B,0)) &lt;&gt; "-",INDEX(製品仕様マスタ!AY:AY,MATCH(W2Pデータ貼り付け!T161,製品仕様マスタ!B:B,0)),INDEX(製品仕様マスタ!AZ$1:BZ$500,MATCH(W2Pデータ貼り付け!T161,製品仕様マスタ!B:B,0),MATCH(W2Pデータ貼り付け!V161,製品仕様マスタ!AZ$1:BZ$1,0)))),"")</f>
        <v/>
      </c>
      <c r="AL161" s="15" t="str">
        <f t="shared" si="2"/>
        <v/>
      </c>
      <c r="AM161" s="15" t="str">
        <f>IF(AF161&lt;&gt;"",IF(ISNUMBER(T161),COUNT(AM$2:AM160)+1,""),"")</f>
        <v/>
      </c>
    </row>
    <row r="162" spans="35:39" ht="14.1" customHeight="1" x14ac:dyDescent="0.15">
      <c r="AI162" s="15" t="str">
        <f>_xlfn.IFNA(IF(INDEX(製品仕様マスタ!C:C,MATCH(W2Pデータ貼り付け!T162,製品仕様マスタ!B:B,0))=0,"",INDEX(製品仕様マスタ!C:C,MATCH(W2Pデータ貼り付け!T162,製品仕様マスタ!B:B,0))),"")</f>
        <v/>
      </c>
      <c r="AJ162" s="15" t="str">
        <f>_xlfn.IFNA(IF(INDEX(製品仕様マスタ!AK:AK,MATCH(W2Pデータ貼り付け!T162,製品仕様マスタ!B:B,0))=0,"",INDEX(製品仕様マスタ!AK:AK,MATCH(W2Pデータ貼り付け!T162,製品仕様マスタ!B:B,0))),"")</f>
        <v/>
      </c>
      <c r="AK162" s="198" t="str">
        <f>_xlfn.IFNA(IF(INDEX(製品仕様マスタ!AY:AY,MATCH(W2Pデータ貼り付け!T162,製品仕様マスタ!B:B,0))=0,"",IF(INDEX(製品仕様マスタ!AY:AY,MATCH(W2Pデータ貼り付け!T162,製品仕様マスタ!B:B,0)) &lt;&gt; "-",INDEX(製品仕様マスタ!AY:AY,MATCH(W2Pデータ貼り付け!T162,製品仕様マスタ!B:B,0)),INDEX(製品仕様マスタ!AZ$1:BZ$500,MATCH(W2Pデータ貼り付け!T162,製品仕様マスタ!B:B,0),MATCH(W2Pデータ貼り付け!V162,製品仕様マスタ!AZ$1:BZ$1,0)))),"")</f>
        <v/>
      </c>
      <c r="AL162" s="15" t="str">
        <f t="shared" si="2"/>
        <v/>
      </c>
      <c r="AM162" s="15" t="str">
        <f>IF(AF162&lt;&gt;"",IF(ISNUMBER(T162),COUNT(AM$2:AM161)+1,""),"")</f>
        <v/>
      </c>
    </row>
    <row r="163" spans="35:39" ht="14.1" customHeight="1" x14ac:dyDescent="0.15">
      <c r="AI163" s="15" t="str">
        <f>_xlfn.IFNA(IF(INDEX(製品仕様マスタ!C:C,MATCH(W2Pデータ貼り付け!T163,製品仕様マスタ!B:B,0))=0,"",INDEX(製品仕様マスタ!C:C,MATCH(W2Pデータ貼り付け!T163,製品仕様マスタ!B:B,0))),"")</f>
        <v/>
      </c>
      <c r="AJ163" s="15" t="str">
        <f>_xlfn.IFNA(IF(INDEX(製品仕様マスタ!AK:AK,MATCH(W2Pデータ貼り付け!T163,製品仕様マスタ!B:B,0))=0,"",INDEX(製品仕様マスタ!AK:AK,MATCH(W2Pデータ貼り付け!T163,製品仕様マスタ!B:B,0))),"")</f>
        <v/>
      </c>
      <c r="AK163" s="198" t="str">
        <f>_xlfn.IFNA(IF(INDEX(製品仕様マスタ!AY:AY,MATCH(W2Pデータ貼り付け!T163,製品仕様マスタ!B:B,0))=0,"",IF(INDEX(製品仕様マスタ!AY:AY,MATCH(W2Pデータ貼り付け!T163,製品仕様マスタ!B:B,0)) &lt;&gt; "-",INDEX(製品仕様マスタ!AY:AY,MATCH(W2Pデータ貼り付け!T163,製品仕様マスタ!B:B,0)),INDEX(製品仕様マスタ!AZ$1:BZ$500,MATCH(W2Pデータ貼り付け!T163,製品仕様マスタ!B:B,0),MATCH(W2Pデータ貼り付け!V163,製品仕様マスタ!AZ$1:BZ$1,0)))),"")</f>
        <v/>
      </c>
      <c r="AL163" s="15" t="str">
        <f t="shared" si="2"/>
        <v/>
      </c>
      <c r="AM163" s="15" t="str">
        <f>IF(AF163&lt;&gt;"",IF(ISNUMBER(T163),COUNT(AM$2:AM162)+1,""),"")</f>
        <v/>
      </c>
    </row>
    <row r="164" spans="35:39" ht="14.1" customHeight="1" x14ac:dyDescent="0.15">
      <c r="AI164" s="15" t="str">
        <f>_xlfn.IFNA(IF(INDEX(製品仕様マスタ!C:C,MATCH(W2Pデータ貼り付け!T164,製品仕様マスタ!B:B,0))=0,"",INDEX(製品仕様マスタ!C:C,MATCH(W2Pデータ貼り付け!T164,製品仕様マスタ!B:B,0))),"")</f>
        <v/>
      </c>
      <c r="AJ164" s="15" t="str">
        <f>_xlfn.IFNA(IF(INDEX(製品仕様マスタ!AK:AK,MATCH(W2Pデータ貼り付け!T164,製品仕様マスタ!B:B,0))=0,"",INDEX(製品仕様マスタ!AK:AK,MATCH(W2Pデータ貼り付け!T164,製品仕様マスタ!B:B,0))),"")</f>
        <v/>
      </c>
      <c r="AK164" s="198" t="str">
        <f>_xlfn.IFNA(IF(INDEX(製品仕様マスタ!AY:AY,MATCH(W2Pデータ貼り付け!T164,製品仕様マスタ!B:B,0))=0,"",IF(INDEX(製品仕様マスタ!AY:AY,MATCH(W2Pデータ貼り付け!T164,製品仕様マスタ!B:B,0)) &lt;&gt; "-",INDEX(製品仕様マスタ!AY:AY,MATCH(W2Pデータ貼り付け!T164,製品仕様マスタ!B:B,0)),INDEX(製品仕様マスタ!AZ$1:BZ$500,MATCH(W2Pデータ貼り付け!T164,製品仕様マスタ!B:B,0),MATCH(W2Pデータ貼り付け!V164,製品仕様マスタ!AZ$1:BZ$1,0)))),"")</f>
        <v/>
      </c>
      <c r="AL164" s="15" t="str">
        <f t="shared" si="2"/>
        <v/>
      </c>
      <c r="AM164" s="15" t="str">
        <f>IF(AF164&lt;&gt;"",IF(ISNUMBER(T164),COUNT(AM$2:AM163)+1,""),"")</f>
        <v/>
      </c>
    </row>
    <row r="165" spans="35:39" ht="14.1" customHeight="1" x14ac:dyDescent="0.15">
      <c r="AI165" s="15" t="str">
        <f>_xlfn.IFNA(IF(INDEX(製品仕様マスタ!C:C,MATCH(W2Pデータ貼り付け!T165,製品仕様マスタ!B:B,0))=0,"",INDEX(製品仕様マスタ!C:C,MATCH(W2Pデータ貼り付け!T165,製品仕様マスタ!B:B,0))),"")</f>
        <v/>
      </c>
      <c r="AJ165" s="15" t="str">
        <f>_xlfn.IFNA(IF(INDEX(製品仕様マスタ!AK:AK,MATCH(W2Pデータ貼り付け!T165,製品仕様マスタ!B:B,0))=0,"",INDEX(製品仕様マスタ!AK:AK,MATCH(W2Pデータ貼り付け!T165,製品仕様マスタ!B:B,0))),"")</f>
        <v/>
      </c>
      <c r="AK165" s="198" t="str">
        <f>_xlfn.IFNA(IF(INDEX(製品仕様マスタ!AY:AY,MATCH(W2Pデータ貼り付け!T165,製品仕様マスタ!B:B,0))=0,"",IF(INDEX(製品仕様マスタ!AY:AY,MATCH(W2Pデータ貼り付け!T165,製品仕様マスタ!B:B,0)) &lt;&gt; "-",INDEX(製品仕様マスタ!AY:AY,MATCH(W2Pデータ貼り付け!T165,製品仕様マスタ!B:B,0)),INDEX(製品仕様マスタ!AZ$1:BZ$500,MATCH(W2Pデータ貼り付け!T165,製品仕様マスタ!B:B,0),MATCH(W2Pデータ貼り付け!V165,製品仕様マスタ!AZ$1:BZ$1,0)))),"")</f>
        <v/>
      </c>
      <c r="AL165" s="15" t="str">
        <f t="shared" si="2"/>
        <v/>
      </c>
      <c r="AM165" s="15" t="str">
        <f>IF(AF165&lt;&gt;"",IF(ISNUMBER(T165),COUNT(AM$2:AM164)+1,""),"")</f>
        <v/>
      </c>
    </row>
    <row r="166" spans="35:39" ht="14.1" customHeight="1" x14ac:dyDescent="0.15">
      <c r="AI166" s="15" t="str">
        <f>_xlfn.IFNA(IF(INDEX(製品仕様マスタ!C:C,MATCH(W2Pデータ貼り付け!T166,製品仕様マスタ!B:B,0))=0,"",INDEX(製品仕様マスタ!C:C,MATCH(W2Pデータ貼り付け!T166,製品仕様マスタ!B:B,0))),"")</f>
        <v/>
      </c>
      <c r="AJ166" s="15" t="str">
        <f>_xlfn.IFNA(IF(INDEX(製品仕様マスタ!AK:AK,MATCH(W2Pデータ貼り付け!T166,製品仕様マスタ!B:B,0))=0,"",INDEX(製品仕様マスタ!AK:AK,MATCH(W2Pデータ貼り付け!T166,製品仕様マスタ!B:B,0))),"")</f>
        <v/>
      </c>
      <c r="AK166" s="198" t="str">
        <f>_xlfn.IFNA(IF(INDEX(製品仕様マスタ!AY:AY,MATCH(W2Pデータ貼り付け!T166,製品仕様マスタ!B:B,0))=0,"",IF(INDEX(製品仕様マスタ!AY:AY,MATCH(W2Pデータ貼り付け!T166,製品仕様マスタ!B:B,0)) &lt;&gt; "-",INDEX(製品仕様マスタ!AY:AY,MATCH(W2Pデータ貼り付け!T166,製品仕様マスタ!B:B,0)),INDEX(製品仕様マスタ!AZ$1:BZ$500,MATCH(W2Pデータ貼り付け!T166,製品仕様マスタ!B:B,0),MATCH(W2Pデータ貼り付け!V166,製品仕様マスタ!AZ$1:BZ$1,0)))),"")</f>
        <v/>
      </c>
      <c r="AL166" s="15" t="str">
        <f t="shared" si="2"/>
        <v/>
      </c>
      <c r="AM166" s="15" t="str">
        <f>IF(AF166&lt;&gt;"",IF(ISNUMBER(T166),COUNT(AM$2:AM165)+1,""),"")</f>
        <v/>
      </c>
    </row>
    <row r="167" spans="35:39" ht="14.1" customHeight="1" x14ac:dyDescent="0.15">
      <c r="AI167" s="15" t="str">
        <f>_xlfn.IFNA(IF(INDEX(製品仕様マスタ!C:C,MATCH(W2Pデータ貼り付け!T167,製品仕様マスタ!B:B,0))=0,"",INDEX(製品仕様マスタ!C:C,MATCH(W2Pデータ貼り付け!T167,製品仕様マスタ!B:B,0))),"")</f>
        <v/>
      </c>
      <c r="AJ167" s="15" t="str">
        <f>_xlfn.IFNA(IF(INDEX(製品仕様マスタ!AK:AK,MATCH(W2Pデータ貼り付け!T167,製品仕様マスタ!B:B,0))=0,"",INDEX(製品仕様マスタ!AK:AK,MATCH(W2Pデータ貼り付け!T167,製品仕様マスタ!B:B,0))),"")</f>
        <v/>
      </c>
      <c r="AK167" s="198" t="str">
        <f>_xlfn.IFNA(IF(INDEX(製品仕様マスタ!AY:AY,MATCH(W2Pデータ貼り付け!T167,製品仕様マスタ!B:B,0))=0,"",IF(INDEX(製品仕様マスタ!AY:AY,MATCH(W2Pデータ貼り付け!T167,製品仕様マスタ!B:B,0)) &lt;&gt; "-",INDEX(製品仕様マスタ!AY:AY,MATCH(W2Pデータ貼り付け!T167,製品仕様マスタ!B:B,0)),INDEX(製品仕様マスタ!AZ$1:BZ$500,MATCH(W2Pデータ貼り付け!T167,製品仕様マスタ!B:B,0),MATCH(W2Pデータ貼り付け!V167,製品仕様マスタ!AZ$1:BZ$1,0)))),"")</f>
        <v/>
      </c>
      <c r="AL167" s="15" t="str">
        <f t="shared" si="2"/>
        <v/>
      </c>
      <c r="AM167" s="15" t="str">
        <f>IF(AF167&lt;&gt;"",IF(ISNUMBER(T167),COUNT(AM$2:AM166)+1,""),"")</f>
        <v/>
      </c>
    </row>
    <row r="168" spans="35:39" ht="14.1" customHeight="1" x14ac:dyDescent="0.15">
      <c r="AI168" s="15" t="str">
        <f>_xlfn.IFNA(IF(INDEX(製品仕様マスタ!C:C,MATCH(W2Pデータ貼り付け!T168,製品仕様マスタ!B:B,0))=0,"",INDEX(製品仕様マスタ!C:C,MATCH(W2Pデータ貼り付け!T168,製品仕様マスタ!B:B,0))),"")</f>
        <v/>
      </c>
      <c r="AJ168" s="15" t="str">
        <f>_xlfn.IFNA(IF(INDEX(製品仕様マスタ!AK:AK,MATCH(W2Pデータ貼り付け!T168,製品仕様マスタ!B:B,0))=0,"",INDEX(製品仕様マスタ!AK:AK,MATCH(W2Pデータ貼り付け!T168,製品仕様マスタ!B:B,0))),"")</f>
        <v/>
      </c>
      <c r="AK168" s="198" t="str">
        <f>_xlfn.IFNA(IF(INDEX(製品仕様マスタ!AY:AY,MATCH(W2Pデータ貼り付け!T168,製品仕様マスタ!B:B,0))=0,"",IF(INDEX(製品仕様マスタ!AY:AY,MATCH(W2Pデータ貼り付け!T168,製品仕様マスタ!B:B,0)) &lt;&gt; "-",INDEX(製品仕様マスタ!AY:AY,MATCH(W2Pデータ貼り付け!T168,製品仕様マスタ!B:B,0)),INDEX(製品仕様マスタ!AZ$1:BZ$500,MATCH(W2Pデータ貼り付け!T168,製品仕様マスタ!B:B,0),MATCH(W2Pデータ貼り付け!V168,製品仕様マスタ!AZ$1:BZ$1,0)))),"")</f>
        <v/>
      </c>
      <c r="AL168" s="15" t="str">
        <f t="shared" si="2"/>
        <v/>
      </c>
      <c r="AM168" s="15" t="str">
        <f>IF(AF168&lt;&gt;"",IF(ISNUMBER(T168),COUNT(AM$2:AM167)+1,""),"")</f>
        <v/>
      </c>
    </row>
    <row r="169" spans="35:39" ht="14.1" customHeight="1" x14ac:dyDescent="0.15">
      <c r="AI169" s="15" t="str">
        <f>_xlfn.IFNA(IF(INDEX(製品仕様マスタ!C:C,MATCH(W2Pデータ貼り付け!T169,製品仕様マスタ!B:B,0))=0,"",INDEX(製品仕様マスタ!C:C,MATCH(W2Pデータ貼り付け!T169,製品仕様マスタ!B:B,0))),"")</f>
        <v/>
      </c>
      <c r="AJ169" s="15" t="str">
        <f>_xlfn.IFNA(IF(INDEX(製品仕様マスタ!AK:AK,MATCH(W2Pデータ貼り付け!T169,製品仕様マスタ!B:B,0))=0,"",INDEX(製品仕様マスタ!AK:AK,MATCH(W2Pデータ貼り付け!T169,製品仕様マスタ!B:B,0))),"")</f>
        <v/>
      </c>
      <c r="AK169" s="198" t="str">
        <f>_xlfn.IFNA(IF(INDEX(製品仕様マスタ!AY:AY,MATCH(W2Pデータ貼り付け!T169,製品仕様マスタ!B:B,0))=0,"",IF(INDEX(製品仕様マスタ!AY:AY,MATCH(W2Pデータ貼り付け!T169,製品仕様マスタ!B:B,0)) &lt;&gt; "-",INDEX(製品仕様マスタ!AY:AY,MATCH(W2Pデータ貼り付け!T169,製品仕様マスタ!B:B,0)),INDEX(製品仕様マスタ!AZ$1:BZ$500,MATCH(W2Pデータ貼り付け!T169,製品仕様マスタ!B:B,0),MATCH(W2Pデータ貼り付け!V169,製品仕様マスタ!AZ$1:BZ$1,0)))),"")</f>
        <v/>
      </c>
      <c r="AL169" s="15" t="str">
        <f t="shared" si="2"/>
        <v/>
      </c>
      <c r="AM169" s="15" t="str">
        <f>IF(AF169&lt;&gt;"",IF(ISNUMBER(T169),COUNT(AM$2:AM168)+1,""),"")</f>
        <v/>
      </c>
    </row>
    <row r="170" spans="35:39" ht="14.1" customHeight="1" x14ac:dyDescent="0.15">
      <c r="AI170" s="15" t="str">
        <f>_xlfn.IFNA(IF(INDEX(製品仕様マスタ!C:C,MATCH(W2Pデータ貼り付け!T170,製品仕様マスタ!B:B,0))=0,"",INDEX(製品仕様マスタ!C:C,MATCH(W2Pデータ貼り付け!T170,製品仕様マスタ!B:B,0))),"")</f>
        <v/>
      </c>
      <c r="AJ170" s="15" t="str">
        <f>_xlfn.IFNA(IF(INDEX(製品仕様マスタ!AK:AK,MATCH(W2Pデータ貼り付け!T170,製品仕様マスタ!B:B,0))=0,"",INDEX(製品仕様マスタ!AK:AK,MATCH(W2Pデータ貼り付け!T170,製品仕様マスタ!B:B,0))),"")</f>
        <v/>
      </c>
      <c r="AK170" s="198" t="str">
        <f>_xlfn.IFNA(IF(INDEX(製品仕様マスタ!AY:AY,MATCH(W2Pデータ貼り付け!T170,製品仕様マスタ!B:B,0))=0,"",IF(INDEX(製品仕様マスタ!AY:AY,MATCH(W2Pデータ貼り付け!T170,製品仕様マスタ!B:B,0)) &lt;&gt; "-",INDEX(製品仕様マスタ!AY:AY,MATCH(W2Pデータ貼り付け!T170,製品仕様マスタ!B:B,0)),INDEX(製品仕様マスタ!AZ$1:BZ$500,MATCH(W2Pデータ貼り付け!T170,製品仕様マスタ!B:B,0),MATCH(W2Pデータ貼り付け!V170,製品仕様マスタ!AZ$1:BZ$1,0)))),"")</f>
        <v/>
      </c>
      <c r="AL170" s="15" t="str">
        <f t="shared" si="2"/>
        <v/>
      </c>
      <c r="AM170" s="15" t="str">
        <f>IF(AF170&lt;&gt;"",IF(ISNUMBER(T170),COUNT(AM$2:AM169)+1,""),"")</f>
        <v/>
      </c>
    </row>
    <row r="171" spans="35:39" ht="14.1" customHeight="1" x14ac:dyDescent="0.15">
      <c r="AI171" s="15" t="str">
        <f>_xlfn.IFNA(IF(INDEX(製品仕様マスタ!C:C,MATCH(W2Pデータ貼り付け!T171,製品仕様マスタ!B:B,0))=0,"",INDEX(製品仕様マスタ!C:C,MATCH(W2Pデータ貼り付け!T171,製品仕様マスタ!B:B,0))),"")</f>
        <v/>
      </c>
      <c r="AJ171" s="15" t="str">
        <f>_xlfn.IFNA(IF(INDEX(製品仕様マスタ!AK:AK,MATCH(W2Pデータ貼り付け!T171,製品仕様マスタ!B:B,0))=0,"",INDEX(製品仕様マスタ!AK:AK,MATCH(W2Pデータ貼り付け!T171,製品仕様マスタ!B:B,0))),"")</f>
        <v/>
      </c>
      <c r="AK171" s="198" t="str">
        <f>_xlfn.IFNA(IF(INDEX(製品仕様マスタ!AY:AY,MATCH(W2Pデータ貼り付け!T171,製品仕様マスタ!B:B,0))=0,"",IF(INDEX(製品仕様マスタ!AY:AY,MATCH(W2Pデータ貼り付け!T171,製品仕様マスタ!B:B,0)) &lt;&gt; "-",INDEX(製品仕様マスタ!AY:AY,MATCH(W2Pデータ貼り付け!T171,製品仕様マスタ!B:B,0)),INDEX(製品仕様マスタ!AZ$1:BZ$500,MATCH(W2Pデータ貼り付け!T171,製品仕様マスタ!B:B,0),MATCH(W2Pデータ貼り付け!V171,製品仕様マスタ!AZ$1:BZ$1,0)))),"")</f>
        <v/>
      </c>
      <c r="AL171" s="15" t="str">
        <f t="shared" si="2"/>
        <v/>
      </c>
      <c r="AM171" s="15" t="str">
        <f>IF(AF171&lt;&gt;"",IF(ISNUMBER(T171),COUNT(AM$2:AM170)+1,""),"")</f>
        <v/>
      </c>
    </row>
    <row r="172" spans="35:39" ht="14.1" customHeight="1" x14ac:dyDescent="0.15">
      <c r="AI172" s="15" t="str">
        <f>_xlfn.IFNA(IF(INDEX(製品仕様マスタ!C:C,MATCH(W2Pデータ貼り付け!T172,製品仕様マスタ!B:B,0))=0,"",INDEX(製品仕様マスタ!C:C,MATCH(W2Pデータ貼り付け!T172,製品仕様マスタ!B:B,0))),"")</f>
        <v/>
      </c>
      <c r="AJ172" s="15" t="str">
        <f>_xlfn.IFNA(IF(INDEX(製品仕様マスタ!AK:AK,MATCH(W2Pデータ貼り付け!T172,製品仕様マスタ!B:B,0))=0,"",INDEX(製品仕様マスタ!AK:AK,MATCH(W2Pデータ貼り付け!T172,製品仕様マスタ!B:B,0))),"")</f>
        <v/>
      </c>
      <c r="AK172" s="198" t="str">
        <f>_xlfn.IFNA(IF(INDEX(製品仕様マスタ!AY:AY,MATCH(W2Pデータ貼り付け!T172,製品仕様マスタ!B:B,0))=0,"",IF(INDEX(製品仕様マスタ!AY:AY,MATCH(W2Pデータ貼り付け!T172,製品仕様マスタ!B:B,0)) &lt;&gt; "-",INDEX(製品仕様マスタ!AY:AY,MATCH(W2Pデータ貼り付け!T172,製品仕様マスタ!B:B,0)),INDEX(製品仕様マスタ!AZ$1:BZ$500,MATCH(W2Pデータ貼り付け!T172,製品仕様マスタ!B:B,0),MATCH(W2Pデータ貼り付け!V172,製品仕様マスタ!AZ$1:BZ$1,0)))),"")</f>
        <v/>
      </c>
      <c r="AL172" s="15" t="str">
        <f t="shared" si="2"/>
        <v/>
      </c>
      <c r="AM172" s="15" t="str">
        <f>IF(AF172&lt;&gt;"",IF(ISNUMBER(T172),COUNT(AM$2:AM171)+1,""),"")</f>
        <v/>
      </c>
    </row>
    <row r="173" spans="35:39" ht="14.1" customHeight="1" x14ac:dyDescent="0.15">
      <c r="AI173" s="15" t="str">
        <f>_xlfn.IFNA(IF(INDEX(製品仕様マスタ!C:C,MATCH(W2Pデータ貼り付け!T173,製品仕様マスタ!B:B,0))=0,"",INDEX(製品仕様マスタ!C:C,MATCH(W2Pデータ貼り付け!T173,製品仕様マスタ!B:B,0))),"")</f>
        <v/>
      </c>
      <c r="AJ173" s="15" t="str">
        <f>_xlfn.IFNA(IF(INDEX(製品仕様マスタ!AK:AK,MATCH(W2Pデータ貼り付け!T173,製品仕様マスタ!B:B,0))=0,"",INDEX(製品仕様マスタ!AK:AK,MATCH(W2Pデータ貼り付け!T173,製品仕様マスタ!B:B,0))),"")</f>
        <v/>
      </c>
      <c r="AK173" s="198" t="str">
        <f>_xlfn.IFNA(IF(INDEX(製品仕様マスタ!AY:AY,MATCH(W2Pデータ貼り付け!T173,製品仕様マスタ!B:B,0))=0,"",IF(INDEX(製品仕様マスタ!AY:AY,MATCH(W2Pデータ貼り付け!T173,製品仕様マスタ!B:B,0)) &lt;&gt; "-",INDEX(製品仕様マスタ!AY:AY,MATCH(W2Pデータ貼り付け!T173,製品仕様マスタ!B:B,0)),INDEX(製品仕様マスタ!AZ$1:BZ$500,MATCH(W2Pデータ貼り付け!T173,製品仕様マスタ!B:B,0),MATCH(W2Pデータ貼り付け!V173,製品仕様マスタ!AZ$1:BZ$1,0)))),"")</f>
        <v/>
      </c>
      <c r="AL173" s="15" t="str">
        <f t="shared" si="2"/>
        <v/>
      </c>
      <c r="AM173" s="15" t="str">
        <f>IF(AF173&lt;&gt;"",IF(ISNUMBER(T173),COUNT(AM$2:AM172)+1,""),"")</f>
        <v/>
      </c>
    </row>
    <row r="174" spans="35:39" ht="14.1" customHeight="1" x14ac:dyDescent="0.15">
      <c r="AI174" s="15" t="str">
        <f>_xlfn.IFNA(IF(INDEX(製品仕様マスタ!C:C,MATCH(W2Pデータ貼り付け!T174,製品仕様マスタ!B:B,0))=0,"",INDEX(製品仕様マスタ!C:C,MATCH(W2Pデータ貼り付け!T174,製品仕様マスタ!B:B,0))),"")</f>
        <v/>
      </c>
      <c r="AJ174" s="15" t="str">
        <f>_xlfn.IFNA(IF(INDEX(製品仕様マスタ!AK:AK,MATCH(W2Pデータ貼り付け!T174,製品仕様マスタ!B:B,0))=0,"",INDEX(製品仕様マスタ!AK:AK,MATCH(W2Pデータ貼り付け!T174,製品仕様マスタ!B:B,0))),"")</f>
        <v/>
      </c>
      <c r="AK174" s="198" t="str">
        <f>_xlfn.IFNA(IF(INDEX(製品仕様マスタ!AY:AY,MATCH(W2Pデータ貼り付け!T174,製品仕様マスタ!B:B,0))=0,"",IF(INDEX(製品仕様マスタ!AY:AY,MATCH(W2Pデータ貼り付け!T174,製品仕様マスタ!B:B,0)) &lt;&gt; "-",INDEX(製品仕様マスタ!AY:AY,MATCH(W2Pデータ貼り付け!T174,製品仕様マスタ!B:B,0)),INDEX(製品仕様マスタ!AZ$1:BZ$500,MATCH(W2Pデータ貼り付け!T174,製品仕様マスタ!B:B,0),MATCH(W2Pデータ貼り付け!V174,製品仕様マスタ!AZ$1:BZ$1,0)))),"")</f>
        <v/>
      </c>
      <c r="AL174" s="15" t="str">
        <f t="shared" si="2"/>
        <v/>
      </c>
      <c r="AM174" s="15" t="str">
        <f>IF(AF174&lt;&gt;"",IF(ISNUMBER(T174),COUNT(AM$2:AM173)+1,""),"")</f>
        <v/>
      </c>
    </row>
    <row r="175" spans="35:39" ht="14.1" customHeight="1" x14ac:dyDescent="0.15">
      <c r="AI175" s="15" t="str">
        <f>_xlfn.IFNA(IF(INDEX(製品仕様マスタ!C:C,MATCH(W2Pデータ貼り付け!T175,製品仕様マスタ!B:B,0))=0,"",INDEX(製品仕様マスタ!C:C,MATCH(W2Pデータ貼り付け!T175,製品仕様マスタ!B:B,0))),"")</f>
        <v/>
      </c>
      <c r="AJ175" s="15" t="str">
        <f>_xlfn.IFNA(IF(INDEX(製品仕様マスタ!AK:AK,MATCH(W2Pデータ貼り付け!T175,製品仕様マスタ!B:B,0))=0,"",INDEX(製品仕様マスタ!AK:AK,MATCH(W2Pデータ貼り付け!T175,製品仕様マスタ!B:B,0))),"")</f>
        <v/>
      </c>
      <c r="AK175" s="198" t="str">
        <f>_xlfn.IFNA(IF(INDEX(製品仕様マスタ!AY:AY,MATCH(W2Pデータ貼り付け!T175,製品仕様マスタ!B:B,0))=0,"",IF(INDEX(製品仕様マスタ!AY:AY,MATCH(W2Pデータ貼り付け!T175,製品仕様マスタ!B:B,0)) &lt;&gt; "-",INDEX(製品仕様マスタ!AY:AY,MATCH(W2Pデータ貼り付け!T175,製品仕様マスタ!B:B,0)),INDEX(製品仕様マスタ!AZ$1:BZ$500,MATCH(W2Pデータ貼り付け!T175,製品仕様マスタ!B:B,0),MATCH(W2Pデータ貼り付け!V175,製品仕様マスタ!AZ$1:BZ$1,0)))),"")</f>
        <v/>
      </c>
      <c r="AL175" s="15" t="str">
        <f t="shared" si="2"/>
        <v/>
      </c>
      <c r="AM175" s="15" t="str">
        <f>IF(AF175&lt;&gt;"",IF(ISNUMBER(T175),COUNT(AM$2:AM174)+1,""),"")</f>
        <v/>
      </c>
    </row>
    <row r="176" spans="35:39" ht="14.1" customHeight="1" x14ac:dyDescent="0.15">
      <c r="AI176" s="15" t="str">
        <f>_xlfn.IFNA(IF(INDEX(製品仕様マスタ!C:C,MATCH(W2Pデータ貼り付け!T176,製品仕様マスタ!B:B,0))=0,"",INDEX(製品仕様マスタ!C:C,MATCH(W2Pデータ貼り付け!T176,製品仕様マスタ!B:B,0))),"")</f>
        <v/>
      </c>
      <c r="AJ176" s="15" t="str">
        <f>_xlfn.IFNA(IF(INDEX(製品仕様マスタ!AK:AK,MATCH(W2Pデータ貼り付け!T176,製品仕様マスタ!B:B,0))=0,"",INDEX(製品仕様マスタ!AK:AK,MATCH(W2Pデータ貼り付け!T176,製品仕様マスタ!B:B,0))),"")</f>
        <v/>
      </c>
      <c r="AK176" s="198" t="str">
        <f>_xlfn.IFNA(IF(INDEX(製品仕様マスタ!AY:AY,MATCH(W2Pデータ貼り付け!T176,製品仕様マスタ!B:B,0))=0,"",IF(INDEX(製品仕様マスタ!AY:AY,MATCH(W2Pデータ貼り付け!T176,製品仕様マスタ!B:B,0)) &lt;&gt; "-",INDEX(製品仕様マスタ!AY:AY,MATCH(W2Pデータ貼り付け!T176,製品仕様マスタ!B:B,0)),INDEX(製品仕様マスタ!AZ$1:BZ$500,MATCH(W2Pデータ貼り付け!T176,製品仕様マスタ!B:B,0),MATCH(W2Pデータ貼り付け!V176,製品仕様マスタ!AZ$1:BZ$1,0)))),"")</f>
        <v/>
      </c>
      <c r="AL176" s="15" t="str">
        <f t="shared" si="2"/>
        <v/>
      </c>
      <c r="AM176" s="15" t="str">
        <f>IF(AF176&lt;&gt;"",IF(ISNUMBER(T176),COUNT(AM$2:AM175)+1,""),"")</f>
        <v/>
      </c>
    </row>
    <row r="177" spans="35:39" x14ac:dyDescent="0.15">
      <c r="AI177" s="15" t="str">
        <f>_xlfn.IFNA(IF(INDEX(製品仕様マスタ!C:C,MATCH(W2Pデータ貼り付け!T177,製品仕様マスタ!B:B,0))=0,"",INDEX(製品仕様マスタ!C:C,MATCH(W2Pデータ貼り付け!T177,製品仕様マスタ!B:B,0))),"")</f>
        <v/>
      </c>
      <c r="AJ177" s="15" t="str">
        <f>_xlfn.IFNA(IF(INDEX(製品仕様マスタ!AK:AK,MATCH(W2Pデータ貼り付け!T177,製品仕様マスタ!B:B,0))=0,"",INDEX(製品仕様マスタ!AK:AK,MATCH(W2Pデータ貼り付け!T177,製品仕様マスタ!B:B,0))),"")</f>
        <v/>
      </c>
      <c r="AK177" s="198" t="str">
        <f>_xlfn.IFNA(IF(INDEX(製品仕様マスタ!AY:AY,MATCH(W2Pデータ貼り付け!T177,製品仕様マスタ!B:B,0))=0,"",IF(INDEX(製品仕様マスタ!AY:AY,MATCH(W2Pデータ貼り付け!T177,製品仕様マスタ!B:B,0)) &lt;&gt; "-",INDEX(製品仕様マスタ!AY:AY,MATCH(W2Pデータ貼り付け!T177,製品仕様マスタ!B:B,0)),INDEX(製品仕様マスタ!AZ$1:BZ$500,MATCH(W2Pデータ貼り付け!T177,製品仕様マスタ!B:B,0),MATCH(W2Pデータ貼り付け!V177,製品仕様マスタ!AZ$1:BZ$1,0)))),"")</f>
        <v/>
      </c>
      <c r="AL177" s="15" t="str">
        <f t="shared" si="2"/>
        <v/>
      </c>
      <c r="AM177" s="15" t="str">
        <f>IF(AF177&lt;&gt;"",IF(ISNUMBER(T177),COUNT(AM$2:AM176)+1,""),"")</f>
        <v/>
      </c>
    </row>
    <row r="178" spans="35:39" x14ac:dyDescent="0.15">
      <c r="AI178" s="15" t="str">
        <f>_xlfn.IFNA(IF(INDEX(製品仕様マスタ!C:C,MATCH(W2Pデータ貼り付け!T178,製品仕様マスタ!B:B,0))=0,"",INDEX(製品仕様マスタ!C:C,MATCH(W2Pデータ貼り付け!T178,製品仕様マスタ!B:B,0))),"")</f>
        <v/>
      </c>
      <c r="AJ178" s="15" t="str">
        <f>_xlfn.IFNA(IF(INDEX(製品仕様マスタ!AK:AK,MATCH(W2Pデータ貼り付け!T178,製品仕様マスタ!B:B,0))=0,"",INDEX(製品仕様マスタ!AK:AK,MATCH(W2Pデータ貼り付け!T178,製品仕様マスタ!B:B,0))),"")</f>
        <v/>
      </c>
      <c r="AK178" s="198" t="str">
        <f>_xlfn.IFNA(IF(INDEX(製品仕様マスタ!AY:AY,MATCH(W2Pデータ貼り付け!T178,製品仕様マスタ!B:B,0))=0,"",IF(INDEX(製品仕様マスタ!AY:AY,MATCH(W2Pデータ貼り付け!T178,製品仕様マスタ!B:B,0)) &lt;&gt; "-",INDEX(製品仕様マスタ!AY:AY,MATCH(W2Pデータ貼り付け!T178,製品仕様マスタ!B:B,0)),INDEX(製品仕様マスタ!AZ$1:BZ$500,MATCH(W2Pデータ貼り付け!T178,製品仕様マスタ!B:B,0),MATCH(W2Pデータ貼り付け!V178,製品仕様マスタ!AZ$1:BZ$1,0)))),"")</f>
        <v/>
      </c>
      <c r="AL178" s="15" t="str">
        <f t="shared" si="2"/>
        <v/>
      </c>
      <c r="AM178" s="15" t="str">
        <f>IF(AF178&lt;&gt;"",IF(ISNUMBER(T178),COUNT(AM$2:AM177)+1,""),"")</f>
        <v/>
      </c>
    </row>
    <row r="179" spans="35:39" x14ac:dyDescent="0.15">
      <c r="AI179" s="15" t="str">
        <f>_xlfn.IFNA(IF(INDEX(製品仕様マスタ!C:C,MATCH(W2Pデータ貼り付け!T179,製品仕様マスタ!B:B,0))=0,"",INDEX(製品仕様マスタ!C:C,MATCH(W2Pデータ貼り付け!T179,製品仕様マスタ!B:B,0))),"")</f>
        <v/>
      </c>
      <c r="AJ179" s="15" t="str">
        <f>_xlfn.IFNA(IF(INDEX(製品仕様マスタ!AK:AK,MATCH(W2Pデータ貼り付け!T179,製品仕様マスタ!B:B,0))=0,"",INDEX(製品仕様マスタ!AK:AK,MATCH(W2Pデータ貼り付け!T179,製品仕様マスタ!B:B,0))),"")</f>
        <v/>
      </c>
      <c r="AK179" s="198" t="str">
        <f>_xlfn.IFNA(IF(INDEX(製品仕様マスタ!AY:AY,MATCH(W2Pデータ貼り付け!T179,製品仕様マスタ!B:B,0))=0,"",IF(INDEX(製品仕様マスタ!AY:AY,MATCH(W2Pデータ貼り付け!T179,製品仕様マスタ!B:B,0)) &lt;&gt; "-",INDEX(製品仕様マスタ!AY:AY,MATCH(W2Pデータ貼り付け!T179,製品仕様マスタ!B:B,0)),INDEX(製品仕様マスタ!AZ$1:BZ$500,MATCH(W2Pデータ貼り付け!T179,製品仕様マスタ!B:B,0),MATCH(W2Pデータ貼り付け!V179,製品仕様マスタ!AZ$1:BZ$1,0)))),"")</f>
        <v/>
      </c>
      <c r="AL179" s="15" t="str">
        <f t="shared" si="2"/>
        <v/>
      </c>
      <c r="AM179" s="15" t="str">
        <f>IF(AF179&lt;&gt;"",IF(ISNUMBER(T179),COUNT(AM$2:AM178)+1,""),"")</f>
        <v/>
      </c>
    </row>
    <row r="180" spans="35:39" x14ac:dyDescent="0.15">
      <c r="AI180" s="15" t="str">
        <f>_xlfn.IFNA(IF(INDEX(製品仕様マスタ!C:C,MATCH(W2Pデータ貼り付け!T180,製品仕様マスタ!B:B,0))=0,"",INDEX(製品仕様マスタ!C:C,MATCH(W2Pデータ貼り付け!T180,製品仕様マスタ!B:B,0))),"")</f>
        <v/>
      </c>
      <c r="AJ180" s="15" t="str">
        <f>_xlfn.IFNA(IF(INDEX(製品仕様マスタ!AK:AK,MATCH(W2Pデータ貼り付け!T180,製品仕様マスタ!B:B,0))=0,"",INDEX(製品仕様マスタ!AK:AK,MATCH(W2Pデータ貼り付け!T180,製品仕様マスタ!B:B,0))),"")</f>
        <v/>
      </c>
      <c r="AK180" s="198" t="str">
        <f>_xlfn.IFNA(IF(INDEX(製品仕様マスタ!AY:AY,MATCH(W2Pデータ貼り付け!T180,製品仕様マスタ!B:B,0))=0,"",IF(INDEX(製品仕様マスタ!AY:AY,MATCH(W2Pデータ貼り付け!T180,製品仕様マスタ!B:B,0)) &lt;&gt; "-",INDEX(製品仕様マスタ!AY:AY,MATCH(W2Pデータ貼り付け!T180,製品仕様マスタ!B:B,0)),INDEX(製品仕様マスタ!AZ$1:BZ$500,MATCH(W2Pデータ貼り付け!T180,製品仕様マスタ!B:B,0),MATCH(W2Pデータ貼り付け!V180,製品仕様マスタ!AZ$1:BZ$1,0)))),"")</f>
        <v/>
      </c>
      <c r="AL180" s="15" t="str">
        <f t="shared" si="2"/>
        <v/>
      </c>
      <c r="AM180" s="15" t="str">
        <f>IF(AF180&lt;&gt;"",IF(ISNUMBER(T180),COUNT(AM$2:AM179)+1,""),"")</f>
        <v/>
      </c>
    </row>
    <row r="181" spans="35:39" x14ac:dyDescent="0.15">
      <c r="AI181" s="15" t="str">
        <f>_xlfn.IFNA(IF(INDEX(製品仕様マスタ!C:C,MATCH(W2Pデータ貼り付け!T181,製品仕様マスタ!B:B,0))=0,"",INDEX(製品仕様マスタ!C:C,MATCH(W2Pデータ貼り付け!T181,製品仕様マスタ!B:B,0))),"")</f>
        <v/>
      </c>
      <c r="AJ181" s="15" t="str">
        <f>_xlfn.IFNA(IF(INDEX(製品仕様マスタ!AK:AK,MATCH(W2Pデータ貼り付け!T181,製品仕様マスタ!B:B,0))=0,"",INDEX(製品仕様マスタ!AK:AK,MATCH(W2Pデータ貼り付け!T181,製品仕様マスタ!B:B,0))),"")</f>
        <v/>
      </c>
      <c r="AK181" s="198" t="str">
        <f>_xlfn.IFNA(IF(INDEX(製品仕様マスタ!AY:AY,MATCH(W2Pデータ貼り付け!T181,製品仕様マスタ!B:B,0))=0,"",IF(INDEX(製品仕様マスタ!AY:AY,MATCH(W2Pデータ貼り付け!T181,製品仕様マスタ!B:B,0)) &lt;&gt; "-",INDEX(製品仕様マスタ!AY:AY,MATCH(W2Pデータ貼り付け!T181,製品仕様マスタ!B:B,0)),INDEX(製品仕様マスタ!AZ$1:BZ$500,MATCH(W2Pデータ貼り付け!T181,製品仕様マスタ!B:B,0),MATCH(W2Pデータ貼り付け!V181,製品仕様マスタ!AZ$1:BZ$1,0)))),"")</f>
        <v/>
      </c>
      <c r="AL181" s="15" t="str">
        <f t="shared" si="2"/>
        <v/>
      </c>
      <c r="AM181" s="15" t="str">
        <f>IF(AF181&lt;&gt;"",IF(ISNUMBER(T181),COUNT(AM$2:AM180)+1,""),"")</f>
        <v/>
      </c>
    </row>
    <row r="182" spans="35:39" x14ac:dyDescent="0.15">
      <c r="AI182" s="15" t="str">
        <f>_xlfn.IFNA(IF(INDEX(製品仕様マスタ!C:C,MATCH(W2Pデータ貼り付け!T182,製品仕様マスタ!B:B,0))=0,"",INDEX(製品仕様マスタ!C:C,MATCH(W2Pデータ貼り付け!T182,製品仕様マスタ!B:B,0))),"")</f>
        <v/>
      </c>
      <c r="AJ182" s="15" t="str">
        <f>_xlfn.IFNA(IF(INDEX(製品仕様マスタ!AK:AK,MATCH(W2Pデータ貼り付け!T182,製品仕様マスタ!B:B,0))=0,"",INDEX(製品仕様マスタ!AK:AK,MATCH(W2Pデータ貼り付け!T182,製品仕様マスタ!B:B,0))),"")</f>
        <v/>
      </c>
      <c r="AK182" s="198" t="str">
        <f>_xlfn.IFNA(IF(INDEX(製品仕様マスタ!AY:AY,MATCH(W2Pデータ貼り付け!T182,製品仕様マスタ!B:B,0))=0,"",IF(INDEX(製品仕様マスタ!AY:AY,MATCH(W2Pデータ貼り付け!T182,製品仕様マスタ!B:B,0)) &lt;&gt; "-",INDEX(製品仕様マスタ!AY:AY,MATCH(W2Pデータ貼り付け!T182,製品仕様マスタ!B:B,0)),INDEX(製品仕様マスタ!AZ$1:BZ$500,MATCH(W2Pデータ貼り付け!T182,製品仕様マスタ!B:B,0),MATCH(W2Pデータ貼り付け!V182,製品仕様マスタ!AZ$1:BZ$1,0)))),"")</f>
        <v/>
      </c>
      <c r="AL182" s="15" t="str">
        <f t="shared" si="2"/>
        <v/>
      </c>
      <c r="AM182" s="15" t="str">
        <f>IF(AF182&lt;&gt;"",IF(ISNUMBER(T182),COUNT(AM$2:AM181)+1,""),"")</f>
        <v/>
      </c>
    </row>
    <row r="183" spans="35:39" x14ac:dyDescent="0.15">
      <c r="AI183" s="15" t="str">
        <f>_xlfn.IFNA(IF(INDEX(製品仕様マスタ!C:C,MATCH(W2Pデータ貼り付け!T183,製品仕様マスタ!B:B,0))=0,"",INDEX(製品仕様マスタ!C:C,MATCH(W2Pデータ貼り付け!T183,製品仕様マスタ!B:B,0))),"")</f>
        <v/>
      </c>
      <c r="AJ183" s="15" t="str">
        <f>_xlfn.IFNA(IF(INDEX(製品仕様マスタ!AK:AK,MATCH(W2Pデータ貼り付け!T183,製品仕様マスタ!B:B,0))=0,"",INDEX(製品仕様マスタ!AK:AK,MATCH(W2Pデータ貼り付け!T183,製品仕様マスタ!B:B,0))),"")</f>
        <v/>
      </c>
      <c r="AK183" s="198" t="str">
        <f>_xlfn.IFNA(IF(INDEX(製品仕様マスタ!AY:AY,MATCH(W2Pデータ貼り付け!T183,製品仕様マスタ!B:B,0))=0,"",IF(INDEX(製品仕様マスタ!AY:AY,MATCH(W2Pデータ貼り付け!T183,製品仕様マスタ!B:B,0)) &lt;&gt; "-",INDEX(製品仕様マスタ!AY:AY,MATCH(W2Pデータ貼り付け!T183,製品仕様マスタ!B:B,0)),INDEX(製品仕様マスタ!AZ$1:BZ$500,MATCH(W2Pデータ貼り付け!T183,製品仕様マスタ!B:B,0),MATCH(W2Pデータ貼り付け!V183,製品仕様マスタ!AZ$1:BZ$1,0)))),"")</f>
        <v/>
      </c>
      <c r="AL183" s="15" t="str">
        <f t="shared" si="2"/>
        <v/>
      </c>
      <c r="AM183" s="15" t="str">
        <f>IF(AF183&lt;&gt;"",IF(ISNUMBER(T183),COUNT(AM$2:AM182)+1,""),"")</f>
        <v/>
      </c>
    </row>
    <row r="184" spans="35:39" x14ac:dyDescent="0.15">
      <c r="AI184" s="15" t="str">
        <f>_xlfn.IFNA(IF(INDEX(製品仕様マスタ!C:C,MATCH(W2Pデータ貼り付け!T184,製品仕様マスタ!B:B,0))=0,"",INDEX(製品仕様マスタ!C:C,MATCH(W2Pデータ貼り付け!T184,製品仕様マスタ!B:B,0))),"")</f>
        <v/>
      </c>
      <c r="AJ184" s="15" t="str">
        <f>_xlfn.IFNA(IF(INDEX(製品仕様マスタ!AK:AK,MATCH(W2Pデータ貼り付け!T184,製品仕様マスタ!B:B,0))=0,"",INDEX(製品仕様マスタ!AK:AK,MATCH(W2Pデータ貼り付け!T184,製品仕様マスタ!B:B,0))),"")</f>
        <v/>
      </c>
      <c r="AK184" s="198" t="str">
        <f>_xlfn.IFNA(IF(INDEX(製品仕様マスタ!AY:AY,MATCH(W2Pデータ貼り付け!T184,製品仕様マスタ!B:B,0))=0,"",IF(INDEX(製品仕様マスタ!AY:AY,MATCH(W2Pデータ貼り付け!T184,製品仕様マスタ!B:B,0)) &lt;&gt; "-",INDEX(製品仕様マスタ!AY:AY,MATCH(W2Pデータ貼り付け!T184,製品仕様マスタ!B:B,0)),INDEX(製品仕様マスタ!AZ$1:BZ$500,MATCH(W2Pデータ貼り付け!T184,製品仕様マスタ!B:B,0),MATCH(W2Pデータ貼り付け!V184,製品仕様マスタ!AZ$1:BZ$1,0)))),"")</f>
        <v/>
      </c>
      <c r="AL184" s="15" t="str">
        <f t="shared" si="2"/>
        <v/>
      </c>
      <c r="AM184" s="15" t="str">
        <f>IF(AF184&lt;&gt;"",IF(ISNUMBER(T184),COUNT(AM$2:AM183)+1,""),"")</f>
        <v/>
      </c>
    </row>
    <row r="185" spans="35:39" x14ac:dyDescent="0.15">
      <c r="AI185" s="15" t="str">
        <f>_xlfn.IFNA(IF(INDEX(製品仕様マスタ!C:C,MATCH(W2Pデータ貼り付け!T185,製品仕様マスタ!B:B,0))=0,"",INDEX(製品仕様マスタ!C:C,MATCH(W2Pデータ貼り付け!T185,製品仕様マスタ!B:B,0))),"")</f>
        <v/>
      </c>
      <c r="AJ185" s="15" t="str">
        <f>_xlfn.IFNA(IF(INDEX(製品仕様マスタ!AK:AK,MATCH(W2Pデータ貼り付け!T185,製品仕様マスタ!B:B,0))=0,"",INDEX(製品仕様マスタ!AK:AK,MATCH(W2Pデータ貼り付け!T185,製品仕様マスタ!B:B,0))),"")</f>
        <v/>
      </c>
      <c r="AK185" s="198" t="str">
        <f>_xlfn.IFNA(IF(INDEX(製品仕様マスタ!AY:AY,MATCH(W2Pデータ貼り付け!T185,製品仕様マスタ!B:B,0))=0,"",IF(INDEX(製品仕様マスタ!AY:AY,MATCH(W2Pデータ貼り付け!T185,製品仕様マスタ!B:B,0)) &lt;&gt; "-",INDEX(製品仕様マスタ!AY:AY,MATCH(W2Pデータ貼り付け!T185,製品仕様マスタ!B:B,0)),INDEX(製品仕様マスタ!AZ$1:BZ$500,MATCH(W2Pデータ貼り付け!T185,製品仕様マスタ!B:B,0),MATCH(W2Pデータ貼り付け!V185,製品仕様マスタ!AZ$1:BZ$1,0)))),"")</f>
        <v/>
      </c>
      <c r="AL185" s="15" t="str">
        <f t="shared" si="2"/>
        <v/>
      </c>
      <c r="AM185" s="15" t="str">
        <f>IF(AF185&lt;&gt;"",IF(ISNUMBER(T185),COUNT(AM$2:AM184)+1,""),"")</f>
        <v/>
      </c>
    </row>
    <row r="186" spans="35:39" x14ac:dyDescent="0.15">
      <c r="AI186" s="15" t="str">
        <f>_xlfn.IFNA(IF(INDEX(製品仕様マスタ!C:C,MATCH(W2Pデータ貼り付け!T186,製品仕様マスタ!B:B,0))=0,"",INDEX(製品仕様マスタ!C:C,MATCH(W2Pデータ貼り付け!T186,製品仕様マスタ!B:B,0))),"")</f>
        <v/>
      </c>
      <c r="AJ186" s="15" t="str">
        <f>_xlfn.IFNA(IF(INDEX(製品仕様マスタ!AK:AK,MATCH(W2Pデータ貼り付け!T186,製品仕様マスタ!B:B,0))=0,"",INDEX(製品仕様マスタ!AK:AK,MATCH(W2Pデータ貼り付け!T186,製品仕様マスタ!B:B,0))),"")</f>
        <v/>
      </c>
      <c r="AK186" s="198" t="str">
        <f>_xlfn.IFNA(IF(INDEX(製品仕様マスタ!AY:AY,MATCH(W2Pデータ貼り付け!T186,製品仕様マスタ!B:B,0))=0,"",IF(INDEX(製品仕様マスタ!AY:AY,MATCH(W2Pデータ貼り付け!T186,製品仕様マスタ!B:B,0)) &lt;&gt; "-",INDEX(製品仕様マスタ!AY:AY,MATCH(W2Pデータ貼り付け!T186,製品仕様マスタ!B:B,0)),INDEX(製品仕様マスタ!AZ$1:BZ$500,MATCH(W2Pデータ貼り付け!T186,製品仕様マスタ!B:B,0),MATCH(W2Pデータ貼り付け!V186,製品仕様マスタ!AZ$1:BZ$1,0)))),"")</f>
        <v/>
      </c>
      <c r="AL186" s="15" t="str">
        <f t="shared" si="2"/>
        <v/>
      </c>
      <c r="AM186" s="15" t="str">
        <f>IF(AF186&lt;&gt;"",IF(ISNUMBER(T186),COUNT(AM$2:AM185)+1,""),"")</f>
        <v/>
      </c>
    </row>
    <row r="187" spans="35:39" x14ac:dyDescent="0.15">
      <c r="AI187" s="15" t="str">
        <f>_xlfn.IFNA(IF(INDEX(製品仕様マスタ!C:C,MATCH(W2Pデータ貼り付け!T187,製品仕様マスタ!B:B,0))=0,"",INDEX(製品仕様マスタ!C:C,MATCH(W2Pデータ貼り付け!T187,製品仕様マスタ!B:B,0))),"")</f>
        <v/>
      </c>
      <c r="AJ187" s="15" t="str">
        <f>_xlfn.IFNA(IF(INDEX(製品仕様マスタ!AK:AK,MATCH(W2Pデータ貼り付け!T187,製品仕様マスタ!B:B,0))=0,"",INDEX(製品仕様マスタ!AK:AK,MATCH(W2Pデータ貼り付け!T187,製品仕様マスタ!B:B,0))),"")</f>
        <v/>
      </c>
      <c r="AK187" s="198" t="str">
        <f>_xlfn.IFNA(IF(INDEX(製品仕様マスタ!AY:AY,MATCH(W2Pデータ貼り付け!T187,製品仕様マスタ!B:B,0))=0,"",IF(INDEX(製品仕様マスタ!AY:AY,MATCH(W2Pデータ貼り付け!T187,製品仕様マスタ!B:B,0)) &lt;&gt; "-",INDEX(製品仕様マスタ!AY:AY,MATCH(W2Pデータ貼り付け!T187,製品仕様マスタ!B:B,0)),INDEX(製品仕様マスタ!AZ$1:BZ$500,MATCH(W2Pデータ貼り付け!T187,製品仕様マスタ!B:B,0),MATCH(W2Pデータ貼り付け!V187,製品仕様マスタ!AZ$1:BZ$1,0)))),"")</f>
        <v/>
      </c>
      <c r="AL187" s="15" t="str">
        <f t="shared" si="2"/>
        <v/>
      </c>
      <c r="AM187" s="15" t="str">
        <f>IF(AF187&lt;&gt;"",IF(ISNUMBER(T187),COUNT(AM$2:AM186)+1,""),"")</f>
        <v/>
      </c>
    </row>
    <row r="188" spans="35:39" x14ac:dyDescent="0.15">
      <c r="AI188" s="15" t="str">
        <f>_xlfn.IFNA(IF(INDEX(製品仕様マスタ!C:C,MATCH(W2Pデータ貼り付け!T188,製品仕様マスタ!B:B,0))=0,"",INDEX(製品仕様マスタ!C:C,MATCH(W2Pデータ貼り付け!T188,製品仕様マスタ!B:B,0))),"")</f>
        <v/>
      </c>
      <c r="AJ188" s="15" t="str">
        <f>_xlfn.IFNA(IF(INDEX(製品仕様マスタ!AK:AK,MATCH(W2Pデータ貼り付け!T188,製品仕様マスタ!B:B,0))=0,"",INDEX(製品仕様マスタ!AK:AK,MATCH(W2Pデータ貼り付け!T188,製品仕様マスタ!B:B,0))),"")</f>
        <v/>
      </c>
      <c r="AK188" s="198" t="str">
        <f>_xlfn.IFNA(IF(INDEX(製品仕様マスタ!AY:AY,MATCH(W2Pデータ貼り付け!T188,製品仕様マスタ!B:B,0))=0,"",IF(INDEX(製品仕様マスタ!AY:AY,MATCH(W2Pデータ貼り付け!T188,製品仕様マスタ!B:B,0)) &lt;&gt; "-",INDEX(製品仕様マスタ!AY:AY,MATCH(W2Pデータ貼り付け!T188,製品仕様マスタ!B:B,0)),INDEX(製品仕様マスタ!AZ$1:BZ$500,MATCH(W2Pデータ貼り付け!T188,製品仕様マスタ!B:B,0),MATCH(W2Pデータ貼り付け!V188,製品仕様マスタ!AZ$1:BZ$1,0)))),"")</f>
        <v/>
      </c>
      <c r="AL188" s="15" t="str">
        <f t="shared" si="2"/>
        <v/>
      </c>
      <c r="AM188" s="15" t="str">
        <f>IF(AF188&lt;&gt;"",IF(ISNUMBER(T188),COUNT(AM$2:AM187)+1,""),"")</f>
        <v/>
      </c>
    </row>
    <row r="189" spans="35:39" x14ac:dyDescent="0.15">
      <c r="AI189" s="15" t="str">
        <f>_xlfn.IFNA(IF(INDEX(製品仕様マスタ!C:C,MATCH(W2Pデータ貼り付け!T189,製品仕様マスタ!B:B,0))=0,"",INDEX(製品仕様マスタ!C:C,MATCH(W2Pデータ貼り付け!T189,製品仕様マスタ!B:B,0))),"")</f>
        <v/>
      </c>
      <c r="AJ189" s="15" t="str">
        <f>_xlfn.IFNA(IF(INDEX(製品仕様マスタ!AK:AK,MATCH(W2Pデータ貼り付け!T189,製品仕様マスタ!B:B,0))=0,"",INDEX(製品仕様マスタ!AK:AK,MATCH(W2Pデータ貼り付け!T189,製品仕様マスタ!B:B,0))),"")</f>
        <v/>
      </c>
      <c r="AK189" s="198" t="str">
        <f>_xlfn.IFNA(IF(INDEX(製品仕様マスタ!AY:AY,MATCH(W2Pデータ貼り付け!T189,製品仕様マスタ!B:B,0))=0,"",IF(INDEX(製品仕様マスタ!AY:AY,MATCH(W2Pデータ貼り付け!T189,製品仕様マスタ!B:B,0)) &lt;&gt; "-",INDEX(製品仕様マスタ!AY:AY,MATCH(W2Pデータ貼り付け!T189,製品仕様マスタ!B:B,0)),INDEX(製品仕様マスタ!AZ$1:BZ$500,MATCH(W2Pデータ貼り付け!T189,製品仕様マスタ!B:B,0),MATCH(W2Pデータ貼り付け!V189,製品仕様マスタ!AZ$1:BZ$1,0)))),"")</f>
        <v/>
      </c>
      <c r="AL189" s="15" t="str">
        <f t="shared" si="2"/>
        <v/>
      </c>
      <c r="AM189" s="15" t="str">
        <f>IF(AF189&lt;&gt;"",IF(ISNUMBER(T189),COUNT(AM$2:AM188)+1,""),"")</f>
        <v/>
      </c>
    </row>
    <row r="190" spans="35:39" x14ac:dyDescent="0.15">
      <c r="AI190" s="15" t="str">
        <f>_xlfn.IFNA(IF(INDEX(製品仕様マスタ!C:C,MATCH(W2Pデータ貼り付け!T190,製品仕様マスタ!B:B,0))=0,"",INDEX(製品仕様マスタ!C:C,MATCH(W2Pデータ貼り付け!T190,製品仕様マスタ!B:B,0))),"")</f>
        <v/>
      </c>
      <c r="AJ190" s="15" t="str">
        <f>_xlfn.IFNA(IF(INDEX(製品仕様マスタ!AK:AK,MATCH(W2Pデータ貼り付け!T190,製品仕様マスタ!B:B,0))=0,"",INDEX(製品仕様マスタ!AK:AK,MATCH(W2Pデータ貼り付け!T190,製品仕様マスタ!B:B,0))),"")</f>
        <v/>
      </c>
      <c r="AK190" s="198" t="str">
        <f>_xlfn.IFNA(IF(INDEX(製品仕様マスタ!AY:AY,MATCH(W2Pデータ貼り付け!T190,製品仕様マスタ!B:B,0))=0,"",IF(INDEX(製品仕様マスタ!AY:AY,MATCH(W2Pデータ貼り付け!T190,製品仕様マスタ!B:B,0)) &lt;&gt; "-",INDEX(製品仕様マスタ!AY:AY,MATCH(W2Pデータ貼り付け!T190,製品仕様マスタ!B:B,0)),INDEX(製品仕様マスタ!AZ$1:BZ$500,MATCH(W2Pデータ貼り付け!T190,製品仕様マスタ!B:B,0),MATCH(W2Pデータ貼り付け!V190,製品仕様マスタ!AZ$1:BZ$1,0)))),"")</f>
        <v/>
      </c>
      <c r="AL190" s="15" t="str">
        <f t="shared" si="2"/>
        <v/>
      </c>
      <c r="AM190" s="15" t="str">
        <f>IF(AF190&lt;&gt;"",IF(ISNUMBER(T190),COUNT(AM$2:AM189)+1,""),"")</f>
        <v/>
      </c>
    </row>
    <row r="191" spans="35:39" x14ac:dyDescent="0.15">
      <c r="AI191" s="15" t="str">
        <f>_xlfn.IFNA(IF(INDEX(製品仕様マスタ!C:C,MATCH(W2Pデータ貼り付け!T191,製品仕様マスタ!B:B,0))=0,"",INDEX(製品仕様マスタ!C:C,MATCH(W2Pデータ貼り付け!T191,製品仕様マスタ!B:B,0))),"")</f>
        <v/>
      </c>
      <c r="AJ191" s="15" t="str">
        <f>_xlfn.IFNA(IF(INDEX(製品仕様マスタ!AK:AK,MATCH(W2Pデータ貼り付け!T191,製品仕様マスタ!B:B,0))=0,"",INDEX(製品仕様マスタ!AK:AK,MATCH(W2Pデータ貼り付け!T191,製品仕様マスタ!B:B,0))),"")</f>
        <v/>
      </c>
      <c r="AK191" s="198" t="str">
        <f>_xlfn.IFNA(IF(INDEX(製品仕様マスタ!AY:AY,MATCH(W2Pデータ貼り付け!T191,製品仕様マスタ!B:B,0))=0,"",IF(INDEX(製品仕様マスタ!AY:AY,MATCH(W2Pデータ貼り付け!T191,製品仕様マスタ!B:B,0)) &lt;&gt; "-",INDEX(製品仕様マスタ!AY:AY,MATCH(W2Pデータ貼り付け!T191,製品仕様マスタ!B:B,0)),INDEX(製品仕様マスタ!AZ$1:BZ$500,MATCH(W2Pデータ貼り付け!T191,製品仕様マスタ!B:B,0),MATCH(W2Pデータ貼り付け!V191,製品仕様マスタ!AZ$1:BZ$1,0)))),"")</f>
        <v/>
      </c>
      <c r="AL191" s="15" t="str">
        <f t="shared" si="2"/>
        <v/>
      </c>
      <c r="AM191" s="15" t="str">
        <f>IF(AF191&lt;&gt;"",IF(ISNUMBER(T191),COUNT(AM$2:AM190)+1,""),"")</f>
        <v/>
      </c>
    </row>
    <row r="192" spans="35:39" x14ac:dyDescent="0.15">
      <c r="AI192" s="15" t="str">
        <f>_xlfn.IFNA(IF(INDEX(製品仕様マスタ!C:C,MATCH(W2Pデータ貼り付け!T192,製品仕様マスタ!B:B,0))=0,"",INDEX(製品仕様マスタ!C:C,MATCH(W2Pデータ貼り付け!T192,製品仕様マスタ!B:B,0))),"")</f>
        <v/>
      </c>
      <c r="AJ192" s="15" t="str">
        <f>_xlfn.IFNA(IF(INDEX(製品仕様マスタ!AK:AK,MATCH(W2Pデータ貼り付け!T192,製品仕様マスタ!B:B,0))=0,"",INDEX(製品仕様マスタ!AK:AK,MATCH(W2Pデータ貼り付け!T192,製品仕様マスタ!B:B,0))),"")</f>
        <v/>
      </c>
      <c r="AK192" s="198" t="str">
        <f>_xlfn.IFNA(IF(INDEX(製品仕様マスタ!AY:AY,MATCH(W2Pデータ貼り付け!T192,製品仕様マスタ!B:B,0))=0,"",IF(INDEX(製品仕様マスタ!AY:AY,MATCH(W2Pデータ貼り付け!T192,製品仕様マスタ!B:B,0)) &lt;&gt; "-",INDEX(製品仕様マスタ!AY:AY,MATCH(W2Pデータ貼り付け!T192,製品仕様マスタ!B:B,0)),INDEX(製品仕様マスタ!AZ$1:BZ$500,MATCH(W2Pデータ貼り付け!T192,製品仕様マスタ!B:B,0),MATCH(W2Pデータ貼り付け!V192,製品仕様マスタ!AZ$1:BZ$1,0)))),"")</f>
        <v/>
      </c>
      <c r="AL192" s="15" t="str">
        <f t="shared" si="2"/>
        <v/>
      </c>
      <c r="AM192" s="15" t="str">
        <f>IF(AF192&lt;&gt;"",IF(ISNUMBER(T192),COUNT(AM$2:AM191)+1,""),"")</f>
        <v/>
      </c>
    </row>
    <row r="193" spans="35:39" x14ac:dyDescent="0.15">
      <c r="AI193" s="15" t="str">
        <f>_xlfn.IFNA(IF(INDEX(製品仕様マスタ!C:C,MATCH(W2Pデータ貼り付け!T193,製品仕様マスタ!B:B,0))=0,"",INDEX(製品仕様マスタ!C:C,MATCH(W2Pデータ貼り付け!T193,製品仕様マスタ!B:B,0))),"")</f>
        <v/>
      </c>
      <c r="AJ193" s="15" t="str">
        <f>_xlfn.IFNA(IF(INDEX(製品仕様マスタ!AK:AK,MATCH(W2Pデータ貼り付け!T193,製品仕様マスタ!B:B,0))=0,"",INDEX(製品仕様マスタ!AK:AK,MATCH(W2Pデータ貼り付け!T193,製品仕様マスタ!B:B,0))),"")</f>
        <v/>
      </c>
      <c r="AK193" s="198" t="str">
        <f>_xlfn.IFNA(IF(INDEX(製品仕様マスタ!AY:AY,MATCH(W2Pデータ貼り付け!T193,製品仕様マスタ!B:B,0))=0,"",IF(INDEX(製品仕様マスタ!AY:AY,MATCH(W2Pデータ貼り付け!T193,製品仕様マスタ!B:B,0)) &lt;&gt; "-",INDEX(製品仕様マスタ!AY:AY,MATCH(W2Pデータ貼り付け!T193,製品仕様マスタ!B:B,0)),INDEX(製品仕様マスタ!AZ$1:BZ$500,MATCH(W2Pデータ貼り付け!T193,製品仕様マスタ!B:B,0),MATCH(W2Pデータ貼り付け!V193,製品仕様マスタ!AZ$1:BZ$1,0)))),"")</f>
        <v/>
      </c>
      <c r="AL193" s="15" t="str">
        <f t="shared" si="2"/>
        <v/>
      </c>
      <c r="AM193" s="15" t="str">
        <f>IF(AF193&lt;&gt;"",IF(ISNUMBER(T193),COUNT(AM$2:AM192)+1,""),"")</f>
        <v/>
      </c>
    </row>
    <row r="194" spans="35:39" x14ac:dyDescent="0.15">
      <c r="AI194" s="15" t="str">
        <f>_xlfn.IFNA(IF(INDEX(製品仕様マスタ!C:C,MATCH(W2Pデータ貼り付け!T194,製品仕様マスタ!B:B,0))=0,"",INDEX(製品仕様マスタ!C:C,MATCH(W2Pデータ貼り付け!T194,製品仕様マスタ!B:B,0))),"")</f>
        <v/>
      </c>
      <c r="AJ194" s="15" t="str">
        <f>_xlfn.IFNA(IF(INDEX(製品仕様マスタ!AK:AK,MATCH(W2Pデータ貼り付け!T194,製品仕様マスタ!B:B,0))=0,"",INDEX(製品仕様マスタ!AK:AK,MATCH(W2Pデータ貼り付け!T194,製品仕様マスタ!B:B,0))),"")</f>
        <v/>
      </c>
      <c r="AK194" s="198" t="str">
        <f>_xlfn.IFNA(IF(INDEX(製品仕様マスタ!AY:AY,MATCH(W2Pデータ貼り付け!T194,製品仕様マスタ!B:B,0))=0,"",IF(INDEX(製品仕様マスタ!AY:AY,MATCH(W2Pデータ貼り付け!T194,製品仕様マスタ!B:B,0)) &lt;&gt; "-",INDEX(製品仕様マスタ!AY:AY,MATCH(W2Pデータ貼り付け!T194,製品仕様マスタ!B:B,0)),INDEX(製品仕様マスタ!AZ$1:BZ$500,MATCH(W2Pデータ貼り付け!T194,製品仕様マスタ!B:B,0),MATCH(W2Pデータ貼り付け!V194,製品仕様マスタ!AZ$1:BZ$1,0)))),"")</f>
        <v/>
      </c>
      <c r="AL194" s="15" t="str">
        <f t="shared" ref="AL194:AL257" si="3">IFERROR(V194*AK194,"")</f>
        <v/>
      </c>
      <c r="AM194" s="15" t="str">
        <f>IF(AF194&lt;&gt;"",IF(ISNUMBER(T194),COUNT(AM$2:AM193)+1,""),"")</f>
        <v/>
      </c>
    </row>
    <row r="195" spans="35:39" x14ac:dyDescent="0.15">
      <c r="AI195" s="15" t="str">
        <f>_xlfn.IFNA(IF(INDEX(製品仕様マスタ!C:C,MATCH(W2Pデータ貼り付け!T195,製品仕様マスタ!B:B,0))=0,"",INDEX(製品仕様マスタ!C:C,MATCH(W2Pデータ貼り付け!T195,製品仕様マスタ!B:B,0))),"")</f>
        <v/>
      </c>
      <c r="AJ195" s="15" t="str">
        <f>_xlfn.IFNA(IF(INDEX(製品仕様マスタ!AK:AK,MATCH(W2Pデータ貼り付け!T195,製品仕様マスタ!B:B,0))=0,"",INDEX(製品仕様マスタ!AK:AK,MATCH(W2Pデータ貼り付け!T195,製品仕様マスタ!B:B,0))),"")</f>
        <v/>
      </c>
      <c r="AK195" s="198" t="str">
        <f>_xlfn.IFNA(IF(INDEX(製品仕様マスタ!AY:AY,MATCH(W2Pデータ貼り付け!T195,製品仕様マスタ!B:B,0))=0,"",IF(INDEX(製品仕様マスタ!AY:AY,MATCH(W2Pデータ貼り付け!T195,製品仕様マスタ!B:B,0)) &lt;&gt; "-",INDEX(製品仕様マスタ!AY:AY,MATCH(W2Pデータ貼り付け!T195,製品仕様マスタ!B:B,0)),INDEX(製品仕様マスタ!AZ$1:BZ$500,MATCH(W2Pデータ貼り付け!T195,製品仕様マスタ!B:B,0),MATCH(W2Pデータ貼り付け!V195,製品仕様マスタ!AZ$1:BZ$1,0)))),"")</f>
        <v/>
      </c>
      <c r="AL195" s="15" t="str">
        <f t="shared" si="3"/>
        <v/>
      </c>
      <c r="AM195" s="15" t="str">
        <f>IF(AF195&lt;&gt;"",IF(ISNUMBER(T195),COUNT(AM$2:AM194)+1,""),"")</f>
        <v/>
      </c>
    </row>
    <row r="196" spans="35:39" x14ac:dyDescent="0.15">
      <c r="AI196" s="15" t="str">
        <f>_xlfn.IFNA(IF(INDEX(製品仕様マスタ!C:C,MATCH(W2Pデータ貼り付け!T196,製品仕様マスタ!B:B,0))=0,"",INDEX(製品仕様マスタ!C:C,MATCH(W2Pデータ貼り付け!T196,製品仕様マスタ!B:B,0))),"")</f>
        <v/>
      </c>
      <c r="AJ196" s="15" t="str">
        <f>_xlfn.IFNA(IF(INDEX(製品仕様マスタ!AK:AK,MATCH(W2Pデータ貼り付け!T196,製品仕様マスタ!B:B,0))=0,"",INDEX(製品仕様マスタ!AK:AK,MATCH(W2Pデータ貼り付け!T196,製品仕様マスタ!B:B,0))),"")</f>
        <v/>
      </c>
      <c r="AK196" s="198" t="str">
        <f>_xlfn.IFNA(IF(INDEX(製品仕様マスタ!AY:AY,MATCH(W2Pデータ貼り付け!T196,製品仕様マスタ!B:B,0))=0,"",IF(INDEX(製品仕様マスタ!AY:AY,MATCH(W2Pデータ貼り付け!T196,製品仕様マスタ!B:B,0)) &lt;&gt; "-",INDEX(製品仕様マスタ!AY:AY,MATCH(W2Pデータ貼り付け!T196,製品仕様マスタ!B:B,0)),INDEX(製品仕様マスタ!AZ$1:BZ$500,MATCH(W2Pデータ貼り付け!T196,製品仕様マスタ!B:B,0),MATCH(W2Pデータ貼り付け!V196,製品仕様マスタ!AZ$1:BZ$1,0)))),"")</f>
        <v/>
      </c>
      <c r="AL196" s="15" t="str">
        <f t="shared" si="3"/>
        <v/>
      </c>
      <c r="AM196" s="15" t="str">
        <f>IF(AF196&lt;&gt;"",IF(ISNUMBER(T196),COUNT(AM$2:AM195)+1,""),"")</f>
        <v/>
      </c>
    </row>
    <row r="197" spans="35:39" x14ac:dyDescent="0.15">
      <c r="AI197" s="15" t="str">
        <f>_xlfn.IFNA(IF(INDEX(製品仕様マスタ!C:C,MATCH(W2Pデータ貼り付け!T197,製品仕様マスタ!B:B,0))=0,"",INDEX(製品仕様マスタ!C:C,MATCH(W2Pデータ貼り付け!T197,製品仕様マスタ!B:B,0))),"")</f>
        <v/>
      </c>
      <c r="AJ197" s="15" t="str">
        <f>_xlfn.IFNA(IF(INDEX(製品仕様マスタ!AK:AK,MATCH(W2Pデータ貼り付け!T197,製品仕様マスタ!B:B,0))=0,"",INDEX(製品仕様マスタ!AK:AK,MATCH(W2Pデータ貼り付け!T197,製品仕様マスタ!B:B,0))),"")</f>
        <v/>
      </c>
      <c r="AK197" s="198" t="str">
        <f>_xlfn.IFNA(IF(INDEX(製品仕様マスタ!AY:AY,MATCH(W2Pデータ貼り付け!T197,製品仕様マスタ!B:B,0))=0,"",IF(INDEX(製品仕様マスタ!AY:AY,MATCH(W2Pデータ貼り付け!T197,製品仕様マスタ!B:B,0)) &lt;&gt; "-",INDEX(製品仕様マスタ!AY:AY,MATCH(W2Pデータ貼り付け!T197,製品仕様マスタ!B:B,0)),INDEX(製品仕様マスタ!AZ$1:BZ$500,MATCH(W2Pデータ貼り付け!T197,製品仕様マスタ!B:B,0),MATCH(W2Pデータ貼り付け!V197,製品仕様マスタ!AZ$1:BZ$1,0)))),"")</f>
        <v/>
      </c>
      <c r="AL197" s="15" t="str">
        <f t="shared" si="3"/>
        <v/>
      </c>
      <c r="AM197" s="15" t="str">
        <f>IF(AF197&lt;&gt;"",IF(ISNUMBER(T197),COUNT(AM$2:AM196)+1,""),"")</f>
        <v/>
      </c>
    </row>
    <row r="198" spans="35:39" x14ac:dyDescent="0.15">
      <c r="AI198" s="15" t="str">
        <f>_xlfn.IFNA(IF(INDEX(製品仕様マスタ!C:C,MATCH(W2Pデータ貼り付け!T198,製品仕様マスタ!B:B,0))=0,"",INDEX(製品仕様マスタ!C:C,MATCH(W2Pデータ貼り付け!T198,製品仕様マスタ!B:B,0))),"")</f>
        <v/>
      </c>
      <c r="AJ198" s="15" t="str">
        <f>_xlfn.IFNA(IF(INDEX(製品仕様マスタ!AK:AK,MATCH(W2Pデータ貼り付け!T198,製品仕様マスタ!B:B,0))=0,"",INDEX(製品仕様マスタ!AK:AK,MATCH(W2Pデータ貼り付け!T198,製品仕様マスタ!B:B,0))),"")</f>
        <v/>
      </c>
      <c r="AK198" s="198" t="str">
        <f>_xlfn.IFNA(IF(INDEX(製品仕様マスタ!AY:AY,MATCH(W2Pデータ貼り付け!T198,製品仕様マスタ!B:B,0))=0,"",IF(INDEX(製品仕様マスタ!AY:AY,MATCH(W2Pデータ貼り付け!T198,製品仕様マスタ!B:B,0)) &lt;&gt; "-",INDEX(製品仕様マスタ!AY:AY,MATCH(W2Pデータ貼り付け!T198,製品仕様マスタ!B:B,0)),INDEX(製品仕様マスタ!AZ$1:BZ$500,MATCH(W2Pデータ貼り付け!T198,製品仕様マスタ!B:B,0),MATCH(W2Pデータ貼り付け!V198,製品仕様マスタ!AZ$1:BZ$1,0)))),"")</f>
        <v/>
      </c>
      <c r="AL198" s="15" t="str">
        <f t="shared" si="3"/>
        <v/>
      </c>
      <c r="AM198" s="15" t="str">
        <f>IF(AF198&lt;&gt;"",IF(ISNUMBER(T198),COUNT(AM$2:AM197)+1,""),"")</f>
        <v/>
      </c>
    </row>
    <row r="199" spans="35:39" x14ac:dyDescent="0.15">
      <c r="AI199" s="15" t="str">
        <f>_xlfn.IFNA(IF(INDEX(製品仕様マスタ!C:C,MATCH(W2Pデータ貼り付け!T199,製品仕様マスタ!B:B,0))=0,"",INDEX(製品仕様マスタ!C:C,MATCH(W2Pデータ貼り付け!T199,製品仕様マスタ!B:B,0))),"")</f>
        <v/>
      </c>
      <c r="AJ199" s="15" t="str">
        <f>_xlfn.IFNA(IF(INDEX(製品仕様マスタ!AK:AK,MATCH(W2Pデータ貼り付け!T199,製品仕様マスタ!B:B,0))=0,"",INDEX(製品仕様マスタ!AK:AK,MATCH(W2Pデータ貼り付け!T199,製品仕様マスタ!B:B,0))),"")</f>
        <v/>
      </c>
      <c r="AK199" s="198" t="str">
        <f>_xlfn.IFNA(IF(INDEX(製品仕様マスタ!AY:AY,MATCH(W2Pデータ貼り付け!T199,製品仕様マスタ!B:B,0))=0,"",IF(INDEX(製品仕様マスタ!AY:AY,MATCH(W2Pデータ貼り付け!T199,製品仕様マスタ!B:B,0)) &lt;&gt; "-",INDEX(製品仕様マスタ!AY:AY,MATCH(W2Pデータ貼り付け!T199,製品仕様マスタ!B:B,0)),INDEX(製品仕様マスタ!AZ$1:BZ$500,MATCH(W2Pデータ貼り付け!T199,製品仕様マスタ!B:B,0),MATCH(W2Pデータ貼り付け!V199,製品仕様マスタ!AZ$1:BZ$1,0)))),"")</f>
        <v/>
      </c>
      <c r="AL199" s="15" t="str">
        <f t="shared" si="3"/>
        <v/>
      </c>
      <c r="AM199" s="15" t="str">
        <f>IF(AF199&lt;&gt;"",IF(ISNUMBER(T199),COUNT(AM$2:AM198)+1,""),"")</f>
        <v/>
      </c>
    </row>
    <row r="200" spans="35:39" x14ac:dyDescent="0.15">
      <c r="AI200" s="15" t="str">
        <f>_xlfn.IFNA(IF(INDEX(製品仕様マスタ!C:C,MATCH(W2Pデータ貼り付け!T200,製品仕様マスタ!B:B,0))=0,"",INDEX(製品仕様マスタ!C:C,MATCH(W2Pデータ貼り付け!T200,製品仕様マスタ!B:B,0))),"")</f>
        <v/>
      </c>
      <c r="AJ200" s="15" t="str">
        <f>_xlfn.IFNA(IF(INDEX(製品仕様マスタ!AK:AK,MATCH(W2Pデータ貼り付け!T200,製品仕様マスタ!B:B,0))=0,"",INDEX(製品仕様マスタ!AK:AK,MATCH(W2Pデータ貼り付け!T200,製品仕様マスタ!B:B,0))),"")</f>
        <v/>
      </c>
      <c r="AK200" s="198" t="str">
        <f>_xlfn.IFNA(IF(INDEX(製品仕様マスタ!AY:AY,MATCH(W2Pデータ貼り付け!T200,製品仕様マスタ!B:B,0))=0,"",IF(INDEX(製品仕様マスタ!AY:AY,MATCH(W2Pデータ貼り付け!T200,製品仕様マスタ!B:B,0)) &lt;&gt; "-",INDEX(製品仕様マスタ!AY:AY,MATCH(W2Pデータ貼り付け!T200,製品仕様マスタ!B:B,0)),INDEX(製品仕様マスタ!AZ$1:BZ$500,MATCH(W2Pデータ貼り付け!T200,製品仕様マスタ!B:B,0),MATCH(W2Pデータ貼り付け!V200,製品仕様マスタ!AZ$1:BZ$1,0)))),"")</f>
        <v/>
      </c>
      <c r="AL200" s="15" t="str">
        <f t="shared" si="3"/>
        <v/>
      </c>
      <c r="AM200" s="15" t="str">
        <f>IF(AF200&lt;&gt;"",IF(ISNUMBER(T200),COUNT(AM$2:AM199)+1,""),"")</f>
        <v/>
      </c>
    </row>
    <row r="201" spans="35:39" x14ac:dyDescent="0.15">
      <c r="AI201" s="15" t="str">
        <f>_xlfn.IFNA(IF(INDEX(製品仕様マスタ!C:C,MATCH(W2Pデータ貼り付け!T201,製品仕様マスタ!B:B,0))=0,"",INDEX(製品仕様マスタ!C:C,MATCH(W2Pデータ貼り付け!T201,製品仕様マスタ!B:B,0))),"")</f>
        <v/>
      </c>
      <c r="AJ201" s="15" t="str">
        <f>_xlfn.IFNA(IF(INDEX(製品仕様マスタ!AK:AK,MATCH(W2Pデータ貼り付け!T201,製品仕様マスタ!B:B,0))=0,"",INDEX(製品仕様マスタ!AK:AK,MATCH(W2Pデータ貼り付け!T201,製品仕様マスタ!B:B,0))),"")</f>
        <v/>
      </c>
      <c r="AK201" s="198" t="str">
        <f>_xlfn.IFNA(IF(INDEX(製品仕様マスタ!AY:AY,MATCH(W2Pデータ貼り付け!T201,製品仕様マスタ!B:B,0))=0,"",IF(INDEX(製品仕様マスタ!AY:AY,MATCH(W2Pデータ貼り付け!T201,製品仕様マスタ!B:B,0)) &lt;&gt; "-",INDEX(製品仕様マスタ!AY:AY,MATCH(W2Pデータ貼り付け!T201,製品仕様マスタ!B:B,0)),INDEX(製品仕様マスタ!AZ$1:BZ$500,MATCH(W2Pデータ貼り付け!T201,製品仕様マスタ!B:B,0),MATCH(W2Pデータ貼り付け!V201,製品仕様マスタ!AZ$1:BZ$1,0)))),"")</f>
        <v/>
      </c>
      <c r="AL201" s="15" t="str">
        <f t="shared" si="3"/>
        <v/>
      </c>
      <c r="AM201" s="15" t="str">
        <f>IF(AF201&lt;&gt;"",IF(ISNUMBER(T201),COUNT(AM$2:AM200)+1,""),"")</f>
        <v/>
      </c>
    </row>
    <row r="202" spans="35:39" x14ac:dyDescent="0.15">
      <c r="AI202" s="15" t="str">
        <f>_xlfn.IFNA(IF(INDEX(製品仕様マスタ!C:C,MATCH(W2Pデータ貼り付け!T202,製品仕様マスタ!B:B,0))=0,"",INDEX(製品仕様マスタ!C:C,MATCH(W2Pデータ貼り付け!T202,製品仕様マスタ!B:B,0))),"")</f>
        <v/>
      </c>
      <c r="AJ202" s="15" t="str">
        <f>_xlfn.IFNA(IF(INDEX(製品仕様マスタ!AK:AK,MATCH(W2Pデータ貼り付け!T202,製品仕様マスタ!B:B,0))=0,"",INDEX(製品仕様マスタ!AK:AK,MATCH(W2Pデータ貼り付け!T202,製品仕様マスタ!B:B,0))),"")</f>
        <v/>
      </c>
      <c r="AK202" s="198" t="str">
        <f>_xlfn.IFNA(IF(INDEX(製品仕様マスタ!AY:AY,MATCH(W2Pデータ貼り付け!T202,製品仕様マスタ!B:B,0))=0,"",IF(INDEX(製品仕様マスタ!AY:AY,MATCH(W2Pデータ貼り付け!T202,製品仕様マスタ!B:B,0)) &lt;&gt; "-",INDEX(製品仕様マスタ!AY:AY,MATCH(W2Pデータ貼り付け!T202,製品仕様マスタ!B:B,0)),INDEX(製品仕様マスタ!AZ$1:BZ$500,MATCH(W2Pデータ貼り付け!T202,製品仕様マスタ!B:B,0),MATCH(W2Pデータ貼り付け!V202,製品仕様マスタ!AZ$1:BZ$1,0)))),"")</f>
        <v/>
      </c>
      <c r="AL202" s="15" t="str">
        <f t="shared" si="3"/>
        <v/>
      </c>
      <c r="AM202" s="15" t="str">
        <f>IF(AF202&lt;&gt;"",IF(ISNUMBER(T202),COUNT(AM$2:AM201)+1,""),"")</f>
        <v/>
      </c>
    </row>
    <row r="203" spans="35:39" x14ac:dyDescent="0.15">
      <c r="AI203" s="15" t="str">
        <f>_xlfn.IFNA(IF(INDEX(製品仕様マスタ!C:C,MATCH(W2Pデータ貼り付け!T203,製品仕様マスタ!B:B,0))=0,"",INDEX(製品仕様マスタ!C:C,MATCH(W2Pデータ貼り付け!T203,製品仕様マスタ!B:B,0))),"")</f>
        <v/>
      </c>
      <c r="AJ203" s="15" t="str">
        <f>_xlfn.IFNA(IF(INDEX(製品仕様マスタ!AK:AK,MATCH(W2Pデータ貼り付け!T203,製品仕様マスタ!B:B,0))=0,"",INDEX(製品仕様マスタ!AK:AK,MATCH(W2Pデータ貼り付け!T203,製品仕様マスタ!B:B,0))),"")</f>
        <v/>
      </c>
      <c r="AK203" s="198" t="str">
        <f>_xlfn.IFNA(IF(INDEX(製品仕様マスタ!AY:AY,MATCH(W2Pデータ貼り付け!T203,製品仕様マスタ!B:B,0))=0,"",IF(INDEX(製品仕様マスタ!AY:AY,MATCH(W2Pデータ貼り付け!T203,製品仕様マスタ!B:B,0)) &lt;&gt; "-",INDEX(製品仕様マスタ!AY:AY,MATCH(W2Pデータ貼り付け!T203,製品仕様マスタ!B:B,0)),INDEX(製品仕様マスタ!AZ$1:BZ$500,MATCH(W2Pデータ貼り付け!T203,製品仕様マスタ!B:B,0),MATCH(W2Pデータ貼り付け!V203,製品仕様マスタ!AZ$1:BZ$1,0)))),"")</f>
        <v/>
      </c>
      <c r="AL203" s="15" t="str">
        <f t="shared" si="3"/>
        <v/>
      </c>
      <c r="AM203" s="15" t="str">
        <f>IF(AF203&lt;&gt;"",IF(ISNUMBER(T203),COUNT(AM$2:AM202)+1,""),"")</f>
        <v/>
      </c>
    </row>
    <row r="204" spans="35:39" x14ac:dyDescent="0.15">
      <c r="AI204" s="15" t="str">
        <f>_xlfn.IFNA(IF(INDEX(製品仕様マスタ!C:C,MATCH(W2Pデータ貼り付け!T204,製品仕様マスタ!B:B,0))=0,"",INDEX(製品仕様マスタ!C:C,MATCH(W2Pデータ貼り付け!T204,製品仕様マスタ!B:B,0))),"")</f>
        <v/>
      </c>
      <c r="AJ204" s="15" t="str">
        <f>_xlfn.IFNA(IF(INDEX(製品仕様マスタ!AK:AK,MATCH(W2Pデータ貼り付け!T204,製品仕様マスタ!B:B,0))=0,"",INDEX(製品仕様マスタ!AK:AK,MATCH(W2Pデータ貼り付け!T204,製品仕様マスタ!B:B,0))),"")</f>
        <v/>
      </c>
      <c r="AK204" s="198" t="str">
        <f>_xlfn.IFNA(IF(INDEX(製品仕様マスタ!AY:AY,MATCH(W2Pデータ貼り付け!T204,製品仕様マスタ!B:B,0))=0,"",IF(INDEX(製品仕様マスタ!AY:AY,MATCH(W2Pデータ貼り付け!T204,製品仕様マスタ!B:B,0)) &lt;&gt; "-",INDEX(製品仕様マスタ!AY:AY,MATCH(W2Pデータ貼り付け!T204,製品仕様マスタ!B:B,0)),INDEX(製品仕様マスタ!AZ$1:BZ$500,MATCH(W2Pデータ貼り付け!T204,製品仕様マスタ!B:B,0),MATCH(W2Pデータ貼り付け!V204,製品仕様マスタ!AZ$1:BZ$1,0)))),"")</f>
        <v/>
      </c>
      <c r="AL204" s="15" t="str">
        <f t="shared" si="3"/>
        <v/>
      </c>
      <c r="AM204" s="15" t="str">
        <f>IF(AF204&lt;&gt;"",IF(ISNUMBER(T204),COUNT(AM$2:AM203)+1,""),"")</f>
        <v/>
      </c>
    </row>
    <row r="205" spans="35:39" x14ac:dyDescent="0.15">
      <c r="AI205" s="15" t="str">
        <f>_xlfn.IFNA(IF(INDEX(製品仕様マスタ!C:C,MATCH(W2Pデータ貼り付け!T205,製品仕様マスタ!B:B,0))=0,"",INDEX(製品仕様マスタ!C:C,MATCH(W2Pデータ貼り付け!T205,製品仕様マスタ!B:B,0))),"")</f>
        <v/>
      </c>
      <c r="AJ205" s="15" t="str">
        <f>_xlfn.IFNA(IF(INDEX(製品仕様マスタ!AK:AK,MATCH(W2Pデータ貼り付け!T205,製品仕様マスタ!B:B,0))=0,"",INDEX(製品仕様マスタ!AK:AK,MATCH(W2Pデータ貼り付け!T205,製品仕様マスタ!B:B,0))),"")</f>
        <v/>
      </c>
      <c r="AK205" s="198" t="str">
        <f>_xlfn.IFNA(IF(INDEX(製品仕様マスタ!AY:AY,MATCH(W2Pデータ貼り付け!T205,製品仕様マスタ!B:B,0))=0,"",IF(INDEX(製品仕様マスタ!AY:AY,MATCH(W2Pデータ貼り付け!T205,製品仕様マスタ!B:B,0)) &lt;&gt; "-",INDEX(製品仕様マスタ!AY:AY,MATCH(W2Pデータ貼り付け!T205,製品仕様マスタ!B:B,0)),INDEX(製品仕様マスタ!AZ$1:BZ$500,MATCH(W2Pデータ貼り付け!T205,製品仕様マスタ!B:B,0),MATCH(W2Pデータ貼り付け!V205,製品仕様マスタ!AZ$1:BZ$1,0)))),"")</f>
        <v/>
      </c>
      <c r="AL205" s="15" t="str">
        <f t="shared" si="3"/>
        <v/>
      </c>
      <c r="AM205" s="15" t="str">
        <f>IF(AF205&lt;&gt;"",IF(ISNUMBER(T205),COUNT(AM$2:AM204)+1,""),"")</f>
        <v/>
      </c>
    </row>
    <row r="206" spans="35:39" x14ac:dyDescent="0.15">
      <c r="AI206" s="15" t="str">
        <f>_xlfn.IFNA(IF(INDEX(製品仕様マスタ!C:C,MATCH(W2Pデータ貼り付け!T206,製品仕様マスタ!B:B,0))=0,"",INDEX(製品仕様マスタ!C:C,MATCH(W2Pデータ貼り付け!T206,製品仕様マスタ!B:B,0))),"")</f>
        <v/>
      </c>
      <c r="AJ206" s="15" t="str">
        <f>_xlfn.IFNA(IF(INDEX(製品仕様マスタ!AK:AK,MATCH(W2Pデータ貼り付け!T206,製品仕様マスタ!B:B,0))=0,"",INDEX(製品仕様マスタ!AK:AK,MATCH(W2Pデータ貼り付け!T206,製品仕様マスタ!B:B,0))),"")</f>
        <v/>
      </c>
      <c r="AK206" s="198" t="str">
        <f>_xlfn.IFNA(IF(INDEX(製品仕様マスタ!AY:AY,MATCH(W2Pデータ貼り付け!T206,製品仕様マスタ!B:B,0))=0,"",IF(INDEX(製品仕様マスタ!AY:AY,MATCH(W2Pデータ貼り付け!T206,製品仕様マスタ!B:B,0)) &lt;&gt; "-",INDEX(製品仕様マスタ!AY:AY,MATCH(W2Pデータ貼り付け!T206,製品仕様マスタ!B:B,0)),INDEX(製品仕様マスタ!AZ$1:BZ$500,MATCH(W2Pデータ貼り付け!T206,製品仕様マスタ!B:B,0),MATCH(W2Pデータ貼り付け!V206,製品仕様マスタ!AZ$1:BZ$1,0)))),"")</f>
        <v/>
      </c>
      <c r="AL206" s="15" t="str">
        <f t="shared" si="3"/>
        <v/>
      </c>
      <c r="AM206" s="15" t="str">
        <f>IF(AF206&lt;&gt;"",IF(ISNUMBER(T206),COUNT(AM$2:AM205)+1,""),"")</f>
        <v/>
      </c>
    </row>
    <row r="207" spans="35:39" x14ac:dyDescent="0.15">
      <c r="AI207" s="15" t="str">
        <f>_xlfn.IFNA(IF(INDEX(製品仕様マスタ!C:C,MATCH(W2Pデータ貼り付け!T207,製品仕様マスタ!B:B,0))=0,"",INDEX(製品仕様マスタ!C:C,MATCH(W2Pデータ貼り付け!T207,製品仕様マスタ!B:B,0))),"")</f>
        <v/>
      </c>
      <c r="AJ207" s="15" t="str">
        <f>_xlfn.IFNA(IF(INDEX(製品仕様マスタ!AK:AK,MATCH(W2Pデータ貼り付け!T207,製品仕様マスタ!B:B,0))=0,"",INDEX(製品仕様マスタ!AK:AK,MATCH(W2Pデータ貼り付け!T207,製品仕様マスタ!B:B,0))),"")</f>
        <v/>
      </c>
      <c r="AK207" s="198" t="str">
        <f>_xlfn.IFNA(IF(INDEX(製品仕様マスタ!AY:AY,MATCH(W2Pデータ貼り付け!T207,製品仕様マスタ!B:B,0))=0,"",IF(INDEX(製品仕様マスタ!AY:AY,MATCH(W2Pデータ貼り付け!T207,製品仕様マスタ!B:B,0)) &lt;&gt; "-",INDEX(製品仕様マスタ!AY:AY,MATCH(W2Pデータ貼り付け!T207,製品仕様マスタ!B:B,0)),INDEX(製品仕様マスタ!AZ$1:BZ$500,MATCH(W2Pデータ貼り付け!T207,製品仕様マスタ!B:B,0),MATCH(W2Pデータ貼り付け!V207,製品仕様マスタ!AZ$1:BZ$1,0)))),"")</f>
        <v/>
      </c>
      <c r="AL207" s="15" t="str">
        <f t="shared" si="3"/>
        <v/>
      </c>
      <c r="AM207" s="15" t="str">
        <f>IF(AF207&lt;&gt;"",IF(ISNUMBER(T207),COUNT(AM$2:AM206)+1,""),"")</f>
        <v/>
      </c>
    </row>
    <row r="208" spans="35:39" x14ac:dyDescent="0.15">
      <c r="AI208" s="15" t="str">
        <f>_xlfn.IFNA(IF(INDEX(製品仕様マスタ!C:C,MATCH(W2Pデータ貼り付け!T208,製品仕様マスタ!B:B,0))=0,"",INDEX(製品仕様マスタ!C:C,MATCH(W2Pデータ貼り付け!T208,製品仕様マスタ!B:B,0))),"")</f>
        <v/>
      </c>
      <c r="AJ208" s="15" t="str">
        <f>_xlfn.IFNA(IF(INDEX(製品仕様マスタ!AK:AK,MATCH(W2Pデータ貼り付け!T208,製品仕様マスタ!B:B,0))=0,"",INDEX(製品仕様マスタ!AK:AK,MATCH(W2Pデータ貼り付け!T208,製品仕様マスタ!B:B,0))),"")</f>
        <v/>
      </c>
      <c r="AK208" s="198" t="str">
        <f>_xlfn.IFNA(IF(INDEX(製品仕様マスタ!AY:AY,MATCH(W2Pデータ貼り付け!T208,製品仕様マスタ!B:B,0))=0,"",IF(INDEX(製品仕様マスタ!AY:AY,MATCH(W2Pデータ貼り付け!T208,製品仕様マスタ!B:B,0)) &lt;&gt; "-",INDEX(製品仕様マスタ!AY:AY,MATCH(W2Pデータ貼り付け!T208,製品仕様マスタ!B:B,0)),INDEX(製品仕様マスタ!AZ$1:BZ$500,MATCH(W2Pデータ貼り付け!T208,製品仕様マスタ!B:B,0),MATCH(W2Pデータ貼り付け!V208,製品仕様マスタ!AZ$1:BZ$1,0)))),"")</f>
        <v/>
      </c>
      <c r="AL208" s="15" t="str">
        <f t="shared" si="3"/>
        <v/>
      </c>
      <c r="AM208" s="15" t="str">
        <f>IF(AF208&lt;&gt;"",IF(ISNUMBER(T208),COUNT(AM$2:AM207)+1,""),"")</f>
        <v/>
      </c>
    </row>
    <row r="209" spans="35:39" x14ac:dyDescent="0.15">
      <c r="AI209" s="15" t="str">
        <f>_xlfn.IFNA(IF(INDEX(製品仕様マスタ!C:C,MATCH(W2Pデータ貼り付け!T209,製品仕様マスタ!B:B,0))=0,"",INDEX(製品仕様マスタ!C:C,MATCH(W2Pデータ貼り付け!T209,製品仕様マスタ!B:B,0))),"")</f>
        <v/>
      </c>
      <c r="AJ209" s="15" t="str">
        <f>_xlfn.IFNA(IF(INDEX(製品仕様マスタ!AK:AK,MATCH(W2Pデータ貼り付け!T209,製品仕様マスタ!B:B,0))=0,"",INDEX(製品仕様マスタ!AK:AK,MATCH(W2Pデータ貼り付け!T209,製品仕様マスタ!B:B,0))),"")</f>
        <v/>
      </c>
      <c r="AK209" s="198" t="str">
        <f>_xlfn.IFNA(IF(INDEX(製品仕様マスタ!AY:AY,MATCH(W2Pデータ貼り付け!T209,製品仕様マスタ!B:B,0))=0,"",IF(INDEX(製品仕様マスタ!AY:AY,MATCH(W2Pデータ貼り付け!T209,製品仕様マスタ!B:B,0)) &lt;&gt; "-",INDEX(製品仕様マスタ!AY:AY,MATCH(W2Pデータ貼り付け!T209,製品仕様マスタ!B:B,0)),INDEX(製品仕様マスタ!AZ$1:BZ$500,MATCH(W2Pデータ貼り付け!T209,製品仕様マスタ!B:B,0),MATCH(W2Pデータ貼り付け!V209,製品仕様マスタ!AZ$1:BZ$1,0)))),"")</f>
        <v/>
      </c>
      <c r="AL209" s="15" t="str">
        <f t="shared" si="3"/>
        <v/>
      </c>
      <c r="AM209" s="15" t="str">
        <f>IF(AF209&lt;&gt;"",IF(ISNUMBER(T209),COUNT(AM$2:AM208)+1,""),"")</f>
        <v/>
      </c>
    </row>
    <row r="210" spans="35:39" x14ac:dyDescent="0.15">
      <c r="AI210" s="15" t="str">
        <f>_xlfn.IFNA(IF(INDEX(製品仕様マスタ!C:C,MATCH(W2Pデータ貼り付け!T210,製品仕様マスタ!B:B,0))=0,"",INDEX(製品仕様マスタ!C:C,MATCH(W2Pデータ貼り付け!T210,製品仕様マスタ!B:B,0))),"")</f>
        <v/>
      </c>
      <c r="AJ210" s="15" t="str">
        <f>_xlfn.IFNA(IF(INDEX(製品仕様マスタ!AK:AK,MATCH(W2Pデータ貼り付け!T210,製品仕様マスタ!B:B,0))=0,"",INDEX(製品仕様マスタ!AK:AK,MATCH(W2Pデータ貼り付け!T210,製品仕様マスタ!B:B,0))),"")</f>
        <v/>
      </c>
      <c r="AK210" s="198" t="str">
        <f>_xlfn.IFNA(IF(INDEX(製品仕様マスタ!AY:AY,MATCH(W2Pデータ貼り付け!T210,製品仕様マスタ!B:B,0))=0,"",IF(INDEX(製品仕様マスタ!AY:AY,MATCH(W2Pデータ貼り付け!T210,製品仕様マスタ!B:B,0)) &lt;&gt; "-",INDEX(製品仕様マスタ!AY:AY,MATCH(W2Pデータ貼り付け!T210,製品仕様マスタ!B:B,0)),INDEX(製品仕様マスタ!AZ$1:BZ$500,MATCH(W2Pデータ貼り付け!T210,製品仕様マスタ!B:B,0),MATCH(W2Pデータ貼り付け!V210,製品仕様マスタ!AZ$1:BZ$1,0)))),"")</f>
        <v/>
      </c>
      <c r="AL210" s="15" t="str">
        <f t="shared" si="3"/>
        <v/>
      </c>
      <c r="AM210" s="15" t="str">
        <f>IF(AF210&lt;&gt;"",IF(ISNUMBER(T210),COUNT(AM$2:AM209)+1,""),"")</f>
        <v/>
      </c>
    </row>
    <row r="211" spans="35:39" x14ac:dyDescent="0.15">
      <c r="AI211" s="15" t="str">
        <f>_xlfn.IFNA(IF(INDEX(製品仕様マスタ!C:C,MATCH(W2Pデータ貼り付け!T211,製品仕様マスタ!B:B,0))=0,"",INDEX(製品仕様マスタ!C:C,MATCH(W2Pデータ貼り付け!T211,製品仕様マスタ!B:B,0))),"")</f>
        <v/>
      </c>
      <c r="AJ211" s="15" t="str">
        <f>_xlfn.IFNA(IF(INDEX(製品仕様マスタ!AK:AK,MATCH(W2Pデータ貼り付け!T211,製品仕様マスタ!B:B,0))=0,"",INDEX(製品仕様マスタ!AK:AK,MATCH(W2Pデータ貼り付け!T211,製品仕様マスタ!B:B,0))),"")</f>
        <v/>
      </c>
      <c r="AK211" s="198" t="str">
        <f>_xlfn.IFNA(IF(INDEX(製品仕様マスタ!AY:AY,MATCH(W2Pデータ貼り付け!T211,製品仕様マスタ!B:B,0))=0,"",IF(INDEX(製品仕様マスタ!AY:AY,MATCH(W2Pデータ貼り付け!T211,製品仕様マスタ!B:B,0)) &lt;&gt; "-",INDEX(製品仕様マスタ!AY:AY,MATCH(W2Pデータ貼り付け!T211,製品仕様マスタ!B:B,0)),INDEX(製品仕様マスタ!AZ$1:BZ$500,MATCH(W2Pデータ貼り付け!T211,製品仕様マスタ!B:B,0),MATCH(W2Pデータ貼り付け!V211,製品仕様マスタ!AZ$1:BZ$1,0)))),"")</f>
        <v/>
      </c>
      <c r="AL211" s="15" t="str">
        <f t="shared" si="3"/>
        <v/>
      </c>
      <c r="AM211" s="15" t="str">
        <f>IF(AF211&lt;&gt;"",IF(ISNUMBER(T211),COUNT(AM$2:AM210)+1,""),"")</f>
        <v/>
      </c>
    </row>
    <row r="212" spans="35:39" x14ac:dyDescent="0.15">
      <c r="AI212" s="15" t="str">
        <f>_xlfn.IFNA(IF(INDEX(製品仕様マスタ!C:C,MATCH(W2Pデータ貼り付け!T212,製品仕様マスタ!B:B,0))=0,"",INDEX(製品仕様マスタ!C:C,MATCH(W2Pデータ貼り付け!T212,製品仕様マスタ!B:B,0))),"")</f>
        <v/>
      </c>
      <c r="AJ212" s="15" t="str">
        <f>_xlfn.IFNA(IF(INDEX(製品仕様マスタ!AK:AK,MATCH(W2Pデータ貼り付け!T212,製品仕様マスタ!B:B,0))=0,"",INDEX(製品仕様マスタ!AK:AK,MATCH(W2Pデータ貼り付け!T212,製品仕様マスタ!B:B,0))),"")</f>
        <v/>
      </c>
      <c r="AK212" s="198" t="str">
        <f>_xlfn.IFNA(IF(INDEX(製品仕様マスタ!AY:AY,MATCH(W2Pデータ貼り付け!T212,製品仕様マスタ!B:B,0))=0,"",IF(INDEX(製品仕様マスタ!AY:AY,MATCH(W2Pデータ貼り付け!T212,製品仕様マスタ!B:B,0)) &lt;&gt; "-",INDEX(製品仕様マスタ!AY:AY,MATCH(W2Pデータ貼り付け!T212,製品仕様マスタ!B:B,0)),INDEX(製品仕様マスタ!AZ$1:BZ$500,MATCH(W2Pデータ貼り付け!T212,製品仕様マスタ!B:B,0),MATCH(W2Pデータ貼り付け!V212,製品仕様マスタ!AZ$1:BZ$1,0)))),"")</f>
        <v/>
      </c>
      <c r="AL212" s="15" t="str">
        <f t="shared" si="3"/>
        <v/>
      </c>
      <c r="AM212" s="15" t="str">
        <f>IF(AF212&lt;&gt;"",IF(ISNUMBER(T212),COUNT(AM$2:AM211)+1,""),"")</f>
        <v/>
      </c>
    </row>
    <row r="213" spans="35:39" x14ac:dyDescent="0.15">
      <c r="AI213" s="15" t="str">
        <f>_xlfn.IFNA(IF(INDEX(製品仕様マスタ!C:C,MATCH(W2Pデータ貼り付け!T213,製品仕様マスタ!B:B,0))=0,"",INDEX(製品仕様マスタ!C:C,MATCH(W2Pデータ貼り付け!T213,製品仕様マスタ!B:B,0))),"")</f>
        <v/>
      </c>
      <c r="AJ213" s="15" t="str">
        <f>_xlfn.IFNA(IF(INDEX(製品仕様マスタ!AK:AK,MATCH(W2Pデータ貼り付け!T213,製品仕様マスタ!B:B,0))=0,"",INDEX(製品仕様マスタ!AK:AK,MATCH(W2Pデータ貼り付け!T213,製品仕様マスタ!B:B,0))),"")</f>
        <v/>
      </c>
      <c r="AK213" s="198" t="str">
        <f>_xlfn.IFNA(IF(INDEX(製品仕様マスタ!AY:AY,MATCH(W2Pデータ貼り付け!T213,製品仕様マスタ!B:B,0))=0,"",IF(INDEX(製品仕様マスタ!AY:AY,MATCH(W2Pデータ貼り付け!T213,製品仕様マスタ!B:B,0)) &lt;&gt; "-",INDEX(製品仕様マスタ!AY:AY,MATCH(W2Pデータ貼り付け!T213,製品仕様マスタ!B:B,0)),INDEX(製品仕様マスタ!AZ$1:BZ$500,MATCH(W2Pデータ貼り付け!T213,製品仕様マスタ!B:B,0),MATCH(W2Pデータ貼り付け!V213,製品仕様マスタ!AZ$1:BZ$1,0)))),"")</f>
        <v/>
      </c>
      <c r="AL213" s="15" t="str">
        <f t="shared" si="3"/>
        <v/>
      </c>
      <c r="AM213" s="15" t="str">
        <f>IF(AF213&lt;&gt;"",IF(ISNUMBER(T213),COUNT(AM$2:AM212)+1,""),"")</f>
        <v/>
      </c>
    </row>
    <row r="214" spans="35:39" x14ac:dyDescent="0.15">
      <c r="AI214" s="15" t="str">
        <f>_xlfn.IFNA(IF(INDEX(製品仕様マスタ!C:C,MATCH(W2Pデータ貼り付け!T214,製品仕様マスタ!B:B,0))=0,"",INDEX(製品仕様マスタ!C:C,MATCH(W2Pデータ貼り付け!T214,製品仕様マスタ!B:B,0))),"")</f>
        <v/>
      </c>
      <c r="AJ214" s="15" t="str">
        <f>_xlfn.IFNA(IF(INDEX(製品仕様マスタ!AK:AK,MATCH(W2Pデータ貼り付け!T214,製品仕様マスタ!B:B,0))=0,"",INDEX(製品仕様マスタ!AK:AK,MATCH(W2Pデータ貼り付け!T214,製品仕様マスタ!B:B,0))),"")</f>
        <v/>
      </c>
      <c r="AK214" s="198" t="str">
        <f>_xlfn.IFNA(IF(INDEX(製品仕様マスタ!AY:AY,MATCH(W2Pデータ貼り付け!T214,製品仕様マスタ!B:B,0))=0,"",IF(INDEX(製品仕様マスタ!AY:AY,MATCH(W2Pデータ貼り付け!T214,製品仕様マスタ!B:B,0)) &lt;&gt; "-",INDEX(製品仕様マスタ!AY:AY,MATCH(W2Pデータ貼り付け!T214,製品仕様マスタ!B:B,0)),INDEX(製品仕様マスタ!AZ$1:BZ$500,MATCH(W2Pデータ貼り付け!T214,製品仕様マスタ!B:B,0),MATCH(W2Pデータ貼り付け!V214,製品仕様マスタ!AZ$1:BZ$1,0)))),"")</f>
        <v/>
      </c>
      <c r="AL214" s="15" t="str">
        <f t="shared" si="3"/>
        <v/>
      </c>
      <c r="AM214" s="15" t="str">
        <f>IF(AF214&lt;&gt;"",IF(ISNUMBER(T214),COUNT(AM$2:AM213)+1,""),"")</f>
        <v/>
      </c>
    </row>
    <row r="215" spans="35:39" x14ac:dyDescent="0.15">
      <c r="AI215" s="15" t="str">
        <f>_xlfn.IFNA(IF(INDEX(製品仕様マスタ!C:C,MATCH(W2Pデータ貼り付け!T215,製品仕様マスタ!B:B,0))=0,"",INDEX(製品仕様マスタ!C:C,MATCH(W2Pデータ貼り付け!T215,製品仕様マスタ!B:B,0))),"")</f>
        <v/>
      </c>
      <c r="AJ215" s="15" t="str">
        <f>_xlfn.IFNA(IF(INDEX(製品仕様マスタ!AK:AK,MATCH(W2Pデータ貼り付け!T215,製品仕様マスタ!B:B,0))=0,"",INDEX(製品仕様マスタ!AK:AK,MATCH(W2Pデータ貼り付け!T215,製品仕様マスタ!B:B,0))),"")</f>
        <v/>
      </c>
      <c r="AK215" s="198" t="str">
        <f>_xlfn.IFNA(IF(INDEX(製品仕様マスタ!AY:AY,MATCH(W2Pデータ貼り付け!T215,製品仕様マスタ!B:B,0))=0,"",IF(INDEX(製品仕様マスタ!AY:AY,MATCH(W2Pデータ貼り付け!T215,製品仕様マスタ!B:B,0)) &lt;&gt; "-",INDEX(製品仕様マスタ!AY:AY,MATCH(W2Pデータ貼り付け!T215,製品仕様マスタ!B:B,0)),INDEX(製品仕様マスタ!AZ$1:BZ$500,MATCH(W2Pデータ貼り付け!T215,製品仕様マスタ!B:B,0),MATCH(W2Pデータ貼り付け!V215,製品仕様マスタ!AZ$1:BZ$1,0)))),"")</f>
        <v/>
      </c>
      <c r="AL215" s="15" t="str">
        <f t="shared" si="3"/>
        <v/>
      </c>
      <c r="AM215" s="15" t="str">
        <f>IF(AF215&lt;&gt;"",IF(ISNUMBER(T215),COUNT(AM$2:AM214)+1,""),"")</f>
        <v/>
      </c>
    </row>
    <row r="216" spans="35:39" x14ac:dyDescent="0.15">
      <c r="AI216" s="15" t="str">
        <f>_xlfn.IFNA(IF(INDEX(製品仕様マスタ!C:C,MATCH(W2Pデータ貼り付け!T216,製品仕様マスタ!B:B,0))=0,"",INDEX(製品仕様マスタ!C:C,MATCH(W2Pデータ貼り付け!T216,製品仕様マスタ!B:B,0))),"")</f>
        <v/>
      </c>
      <c r="AJ216" s="15" t="str">
        <f>_xlfn.IFNA(IF(INDEX(製品仕様マスタ!AK:AK,MATCH(W2Pデータ貼り付け!T216,製品仕様マスタ!B:B,0))=0,"",INDEX(製品仕様マスタ!AK:AK,MATCH(W2Pデータ貼り付け!T216,製品仕様マスタ!B:B,0))),"")</f>
        <v/>
      </c>
      <c r="AK216" s="198" t="str">
        <f>_xlfn.IFNA(IF(INDEX(製品仕様マスタ!AY:AY,MATCH(W2Pデータ貼り付け!T216,製品仕様マスタ!B:B,0))=0,"",IF(INDEX(製品仕様マスタ!AY:AY,MATCH(W2Pデータ貼り付け!T216,製品仕様マスタ!B:B,0)) &lt;&gt; "-",INDEX(製品仕様マスタ!AY:AY,MATCH(W2Pデータ貼り付け!T216,製品仕様マスタ!B:B,0)),INDEX(製品仕様マスタ!AZ$1:BZ$500,MATCH(W2Pデータ貼り付け!T216,製品仕様マスタ!B:B,0),MATCH(W2Pデータ貼り付け!V216,製品仕様マスタ!AZ$1:BZ$1,0)))),"")</f>
        <v/>
      </c>
      <c r="AL216" s="15" t="str">
        <f t="shared" si="3"/>
        <v/>
      </c>
      <c r="AM216" s="15" t="str">
        <f>IF(AF216&lt;&gt;"",IF(ISNUMBER(T216),COUNT(AM$2:AM215)+1,""),"")</f>
        <v/>
      </c>
    </row>
    <row r="217" spans="35:39" x14ac:dyDescent="0.15">
      <c r="AI217" s="15" t="str">
        <f>_xlfn.IFNA(IF(INDEX(製品仕様マスタ!C:C,MATCH(W2Pデータ貼り付け!T217,製品仕様マスタ!B:B,0))=0,"",INDEX(製品仕様マスタ!C:C,MATCH(W2Pデータ貼り付け!T217,製品仕様マスタ!B:B,0))),"")</f>
        <v/>
      </c>
      <c r="AJ217" s="15" t="str">
        <f>_xlfn.IFNA(IF(INDEX(製品仕様マスタ!AK:AK,MATCH(W2Pデータ貼り付け!T217,製品仕様マスタ!B:B,0))=0,"",INDEX(製品仕様マスタ!AK:AK,MATCH(W2Pデータ貼り付け!T217,製品仕様マスタ!B:B,0))),"")</f>
        <v/>
      </c>
      <c r="AK217" s="198" t="str">
        <f>_xlfn.IFNA(IF(INDEX(製品仕様マスタ!AY:AY,MATCH(W2Pデータ貼り付け!T217,製品仕様マスタ!B:B,0))=0,"",IF(INDEX(製品仕様マスタ!AY:AY,MATCH(W2Pデータ貼り付け!T217,製品仕様マスタ!B:B,0)) &lt;&gt; "-",INDEX(製品仕様マスタ!AY:AY,MATCH(W2Pデータ貼り付け!T217,製品仕様マスタ!B:B,0)),INDEX(製品仕様マスタ!AZ$1:BZ$500,MATCH(W2Pデータ貼り付け!T217,製品仕様マスタ!B:B,0),MATCH(W2Pデータ貼り付け!V217,製品仕様マスタ!AZ$1:BZ$1,0)))),"")</f>
        <v/>
      </c>
      <c r="AL217" s="15" t="str">
        <f t="shared" si="3"/>
        <v/>
      </c>
      <c r="AM217" s="15" t="str">
        <f>IF(AF217&lt;&gt;"",IF(ISNUMBER(T217),COUNT(AM$2:AM216)+1,""),"")</f>
        <v/>
      </c>
    </row>
    <row r="218" spans="35:39" x14ac:dyDescent="0.15">
      <c r="AI218" s="15" t="str">
        <f>_xlfn.IFNA(IF(INDEX(製品仕様マスタ!C:C,MATCH(W2Pデータ貼り付け!T218,製品仕様マスタ!B:B,0))=0,"",INDEX(製品仕様マスタ!C:C,MATCH(W2Pデータ貼り付け!T218,製品仕様マスタ!B:B,0))),"")</f>
        <v/>
      </c>
      <c r="AJ218" s="15" t="str">
        <f>_xlfn.IFNA(IF(INDEX(製品仕様マスタ!AK:AK,MATCH(W2Pデータ貼り付け!T218,製品仕様マスタ!B:B,0))=0,"",INDEX(製品仕様マスタ!AK:AK,MATCH(W2Pデータ貼り付け!T218,製品仕様マスタ!B:B,0))),"")</f>
        <v/>
      </c>
      <c r="AK218" s="198" t="str">
        <f>_xlfn.IFNA(IF(INDEX(製品仕様マスタ!AY:AY,MATCH(W2Pデータ貼り付け!T218,製品仕様マスタ!B:B,0))=0,"",IF(INDEX(製品仕様マスタ!AY:AY,MATCH(W2Pデータ貼り付け!T218,製品仕様マスタ!B:B,0)) &lt;&gt; "-",INDEX(製品仕様マスタ!AY:AY,MATCH(W2Pデータ貼り付け!T218,製品仕様マスタ!B:B,0)),INDEX(製品仕様マスタ!AZ$1:BZ$500,MATCH(W2Pデータ貼り付け!T218,製品仕様マスタ!B:B,0),MATCH(W2Pデータ貼り付け!V218,製品仕様マスタ!AZ$1:BZ$1,0)))),"")</f>
        <v/>
      </c>
      <c r="AL218" s="15" t="str">
        <f t="shared" si="3"/>
        <v/>
      </c>
      <c r="AM218" s="15" t="str">
        <f>IF(AF218&lt;&gt;"",IF(ISNUMBER(T218),COUNT(AM$2:AM217)+1,""),"")</f>
        <v/>
      </c>
    </row>
    <row r="219" spans="35:39" x14ac:dyDescent="0.15">
      <c r="AI219" s="15" t="str">
        <f>_xlfn.IFNA(IF(INDEX(製品仕様マスタ!C:C,MATCH(W2Pデータ貼り付け!T219,製品仕様マスタ!B:B,0))=0,"",INDEX(製品仕様マスタ!C:C,MATCH(W2Pデータ貼り付け!T219,製品仕様マスタ!B:B,0))),"")</f>
        <v/>
      </c>
      <c r="AJ219" s="15" t="str">
        <f>_xlfn.IFNA(IF(INDEX(製品仕様マスタ!AK:AK,MATCH(W2Pデータ貼り付け!T219,製品仕様マスタ!B:B,0))=0,"",INDEX(製品仕様マスタ!AK:AK,MATCH(W2Pデータ貼り付け!T219,製品仕様マスタ!B:B,0))),"")</f>
        <v/>
      </c>
      <c r="AK219" s="198" t="str">
        <f>_xlfn.IFNA(IF(INDEX(製品仕様マスタ!AY:AY,MATCH(W2Pデータ貼り付け!T219,製品仕様マスタ!B:B,0))=0,"",IF(INDEX(製品仕様マスタ!AY:AY,MATCH(W2Pデータ貼り付け!T219,製品仕様マスタ!B:B,0)) &lt;&gt; "-",INDEX(製品仕様マスタ!AY:AY,MATCH(W2Pデータ貼り付け!T219,製品仕様マスタ!B:B,0)),INDEX(製品仕様マスタ!AZ$1:BZ$500,MATCH(W2Pデータ貼り付け!T219,製品仕様マスタ!B:B,0),MATCH(W2Pデータ貼り付け!V219,製品仕様マスタ!AZ$1:BZ$1,0)))),"")</f>
        <v/>
      </c>
      <c r="AL219" s="15" t="str">
        <f t="shared" si="3"/>
        <v/>
      </c>
      <c r="AM219" s="15" t="str">
        <f>IF(AF219&lt;&gt;"",IF(ISNUMBER(T219),COUNT(AM$2:AM218)+1,""),"")</f>
        <v/>
      </c>
    </row>
    <row r="220" spans="35:39" x14ac:dyDescent="0.15">
      <c r="AI220" s="15" t="str">
        <f>_xlfn.IFNA(IF(INDEX(製品仕様マスタ!C:C,MATCH(W2Pデータ貼り付け!T220,製品仕様マスタ!B:B,0))=0,"",INDEX(製品仕様マスタ!C:C,MATCH(W2Pデータ貼り付け!T220,製品仕様マスタ!B:B,0))),"")</f>
        <v/>
      </c>
      <c r="AJ220" s="15" t="str">
        <f>_xlfn.IFNA(IF(INDEX(製品仕様マスタ!AK:AK,MATCH(W2Pデータ貼り付け!T220,製品仕様マスタ!B:B,0))=0,"",INDEX(製品仕様マスタ!AK:AK,MATCH(W2Pデータ貼り付け!T220,製品仕様マスタ!B:B,0))),"")</f>
        <v/>
      </c>
      <c r="AK220" s="198" t="str">
        <f>_xlfn.IFNA(IF(INDEX(製品仕様マスタ!AY:AY,MATCH(W2Pデータ貼り付け!T220,製品仕様マスタ!B:B,0))=0,"",IF(INDEX(製品仕様マスタ!AY:AY,MATCH(W2Pデータ貼り付け!T220,製品仕様マスタ!B:B,0)) &lt;&gt; "-",INDEX(製品仕様マスタ!AY:AY,MATCH(W2Pデータ貼り付け!T220,製品仕様マスタ!B:B,0)),INDEX(製品仕様マスタ!AZ$1:BZ$500,MATCH(W2Pデータ貼り付け!T220,製品仕様マスタ!B:B,0),MATCH(W2Pデータ貼り付け!V220,製品仕様マスタ!AZ$1:BZ$1,0)))),"")</f>
        <v/>
      </c>
      <c r="AL220" s="15" t="str">
        <f t="shared" si="3"/>
        <v/>
      </c>
      <c r="AM220" s="15" t="str">
        <f>IF(AF220&lt;&gt;"",IF(ISNUMBER(T220),COUNT(AM$2:AM219)+1,""),"")</f>
        <v/>
      </c>
    </row>
    <row r="221" spans="35:39" x14ac:dyDescent="0.15">
      <c r="AI221" s="15" t="str">
        <f>_xlfn.IFNA(IF(INDEX(製品仕様マスタ!C:C,MATCH(W2Pデータ貼り付け!T221,製品仕様マスタ!B:B,0))=0,"",INDEX(製品仕様マスタ!C:C,MATCH(W2Pデータ貼り付け!T221,製品仕様マスタ!B:B,0))),"")</f>
        <v/>
      </c>
      <c r="AJ221" s="15" t="str">
        <f>_xlfn.IFNA(IF(INDEX(製品仕様マスタ!AK:AK,MATCH(W2Pデータ貼り付け!T221,製品仕様マスタ!B:B,0))=0,"",INDEX(製品仕様マスタ!AK:AK,MATCH(W2Pデータ貼り付け!T221,製品仕様マスタ!B:B,0))),"")</f>
        <v/>
      </c>
      <c r="AK221" s="198" t="str">
        <f>_xlfn.IFNA(IF(INDEX(製品仕様マスタ!AY:AY,MATCH(W2Pデータ貼り付け!T221,製品仕様マスタ!B:B,0))=0,"",IF(INDEX(製品仕様マスタ!AY:AY,MATCH(W2Pデータ貼り付け!T221,製品仕様マスタ!B:B,0)) &lt;&gt; "-",INDEX(製品仕様マスタ!AY:AY,MATCH(W2Pデータ貼り付け!T221,製品仕様マスタ!B:B,0)),INDEX(製品仕様マスタ!AZ$1:BZ$500,MATCH(W2Pデータ貼り付け!T221,製品仕様マスタ!B:B,0),MATCH(W2Pデータ貼り付け!V221,製品仕様マスタ!AZ$1:BZ$1,0)))),"")</f>
        <v/>
      </c>
      <c r="AL221" s="15" t="str">
        <f t="shared" si="3"/>
        <v/>
      </c>
      <c r="AM221" s="15" t="str">
        <f>IF(AF221&lt;&gt;"",IF(ISNUMBER(T221),COUNT(AM$2:AM220)+1,""),"")</f>
        <v/>
      </c>
    </row>
    <row r="222" spans="35:39" x14ac:dyDescent="0.15">
      <c r="AI222" s="15" t="str">
        <f>_xlfn.IFNA(IF(INDEX(製品仕様マスタ!C:C,MATCH(W2Pデータ貼り付け!T222,製品仕様マスタ!B:B,0))=0,"",INDEX(製品仕様マスタ!C:C,MATCH(W2Pデータ貼り付け!T222,製品仕様マスタ!B:B,0))),"")</f>
        <v/>
      </c>
      <c r="AJ222" s="15" t="str">
        <f>_xlfn.IFNA(IF(INDEX(製品仕様マスタ!AK:AK,MATCH(W2Pデータ貼り付け!T222,製品仕様マスタ!B:B,0))=0,"",INDEX(製品仕様マスタ!AK:AK,MATCH(W2Pデータ貼り付け!T222,製品仕様マスタ!B:B,0))),"")</f>
        <v/>
      </c>
      <c r="AK222" s="198" t="str">
        <f>_xlfn.IFNA(IF(INDEX(製品仕様マスタ!AY:AY,MATCH(W2Pデータ貼り付け!T222,製品仕様マスタ!B:B,0))=0,"",IF(INDEX(製品仕様マスタ!AY:AY,MATCH(W2Pデータ貼り付け!T222,製品仕様マスタ!B:B,0)) &lt;&gt; "-",INDEX(製品仕様マスタ!AY:AY,MATCH(W2Pデータ貼り付け!T222,製品仕様マスタ!B:B,0)),INDEX(製品仕様マスタ!AZ$1:BZ$500,MATCH(W2Pデータ貼り付け!T222,製品仕様マスタ!B:B,0),MATCH(W2Pデータ貼り付け!V222,製品仕様マスタ!AZ$1:BZ$1,0)))),"")</f>
        <v/>
      </c>
      <c r="AL222" s="15" t="str">
        <f t="shared" si="3"/>
        <v/>
      </c>
      <c r="AM222" s="15" t="str">
        <f>IF(AF222&lt;&gt;"",IF(ISNUMBER(T222),COUNT(AM$2:AM221)+1,""),"")</f>
        <v/>
      </c>
    </row>
    <row r="223" spans="35:39" x14ac:dyDescent="0.15">
      <c r="AI223" s="15" t="str">
        <f>_xlfn.IFNA(IF(INDEX(製品仕様マスタ!C:C,MATCH(W2Pデータ貼り付け!T223,製品仕様マスタ!B:B,0))=0,"",INDEX(製品仕様マスタ!C:C,MATCH(W2Pデータ貼り付け!T223,製品仕様マスタ!B:B,0))),"")</f>
        <v/>
      </c>
      <c r="AJ223" s="15" t="str">
        <f>_xlfn.IFNA(IF(INDEX(製品仕様マスタ!AK:AK,MATCH(W2Pデータ貼り付け!T223,製品仕様マスタ!B:B,0))=0,"",INDEX(製品仕様マスタ!AK:AK,MATCH(W2Pデータ貼り付け!T223,製品仕様マスタ!B:B,0))),"")</f>
        <v/>
      </c>
      <c r="AK223" s="198" t="str">
        <f>_xlfn.IFNA(IF(INDEX(製品仕様マスタ!AY:AY,MATCH(W2Pデータ貼り付け!T223,製品仕様マスタ!B:B,0))=0,"",IF(INDEX(製品仕様マスタ!AY:AY,MATCH(W2Pデータ貼り付け!T223,製品仕様マスタ!B:B,0)) &lt;&gt; "-",INDEX(製品仕様マスタ!AY:AY,MATCH(W2Pデータ貼り付け!T223,製品仕様マスタ!B:B,0)),INDEX(製品仕様マスタ!AZ$1:BZ$500,MATCH(W2Pデータ貼り付け!T223,製品仕様マスタ!B:B,0),MATCH(W2Pデータ貼り付け!V223,製品仕様マスタ!AZ$1:BZ$1,0)))),"")</f>
        <v/>
      </c>
      <c r="AL223" s="15" t="str">
        <f t="shared" si="3"/>
        <v/>
      </c>
      <c r="AM223" s="15" t="str">
        <f>IF(AF223&lt;&gt;"",IF(ISNUMBER(T223),COUNT(AM$2:AM222)+1,""),"")</f>
        <v/>
      </c>
    </row>
    <row r="224" spans="35:39" x14ac:dyDescent="0.15">
      <c r="AI224" s="15" t="str">
        <f>_xlfn.IFNA(IF(INDEX(製品仕様マスタ!C:C,MATCH(W2Pデータ貼り付け!T224,製品仕様マスタ!B:B,0))=0,"",INDEX(製品仕様マスタ!C:C,MATCH(W2Pデータ貼り付け!T224,製品仕様マスタ!B:B,0))),"")</f>
        <v/>
      </c>
      <c r="AJ224" s="15" t="str">
        <f>_xlfn.IFNA(IF(INDEX(製品仕様マスタ!AK:AK,MATCH(W2Pデータ貼り付け!T224,製品仕様マスタ!B:B,0))=0,"",INDEX(製品仕様マスタ!AK:AK,MATCH(W2Pデータ貼り付け!T224,製品仕様マスタ!B:B,0))),"")</f>
        <v/>
      </c>
      <c r="AK224" s="198" t="str">
        <f>_xlfn.IFNA(IF(INDEX(製品仕様マスタ!AY:AY,MATCH(W2Pデータ貼り付け!T224,製品仕様マスタ!B:B,0))=0,"",IF(INDEX(製品仕様マスタ!AY:AY,MATCH(W2Pデータ貼り付け!T224,製品仕様マスタ!B:B,0)) &lt;&gt; "-",INDEX(製品仕様マスタ!AY:AY,MATCH(W2Pデータ貼り付け!T224,製品仕様マスタ!B:B,0)),INDEX(製品仕様マスタ!AZ$1:BZ$500,MATCH(W2Pデータ貼り付け!T224,製品仕様マスタ!B:B,0),MATCH(W2Pデータ貼り付け!V224,製品仕様マスタ!AZ$1:BZ$1,0)))),"")</f>
        <v/>
      </c>
      <c r="AL224" s="15" t="str">
        <f t="shared" si="3"/>
        <v/>
      </c>
      <c r="AM224" s="15" t="str">
        <f>IF(AF224&lt;&gt;"",IF(ISNUMBER(T224),COUNT(AM$2:AM223)+1,""),"")</f>
        <v/>
      </c>
    </row>
    <row r="225" spans="35:39" x14ac:dyDescent="0.15">
      <c r="AI225" s="15" t="str">
        <f>_xlfn.IFNA(IF(INDEX(製品仕様マスタ!C:C,MATCH(W2Pデータ貼り付け!T225,製品仕様マスタ!B:B,0))=0,"",INDEX(製品仕様マスタ!C:C,MATCH(W2Pデータ貼り付け!T225,製品仕様マスタ!B:B,0))),"")</f>
        <v/>
      </c>
      <c r="AJ225" s="15" t="str">
        <f>_xlfn.IFNA(IF(INDEX(製品仕様マスタ!AK:AK,MATCH(W2Pデータ貼り付け!T225,製品仕様マスタ!B:B,0))=0,"",INDEX(製品仕様マスタ!AK:AK,MATCH(W2Pデータ貼り付け!T225,製品仕様マスタ!B:B,0))),"")</f>
        <v/>
      </c>
      <c r="AK225" s="198" t="str">
        <f>_xlfn.IFNA(IF(INDEX(製品仕様マスタ!AY:AY,MATCH(W2Pデータ貼り付け!T225,製品仕様マスタ!B:B,0))=0,"",IF(INDEX(製品仕様マスタ!AY:AY,MATCH(W2Pデータ貼り付け!T225,製品仕様マスタ!B:B,0)) &lt;&gt; "-",INDEX(製品仕様マスタ!AY:AY,MATCH(W2Pデータ貼り付け!T225,製品仕様マスタ!B:B,0)),INDEX(製品仕様マスタ!AZ$1:BZ$500,MATCH(W2Pデータ貼り付け!T225,製品仕様マスタ!B:B,0),MATCH(W2Pデータ貼り付け!V225,製品仕様マスタ!AZ$1:BZ$1,0)))),"")</f>
        <v/>
      </c>
      <c r="AL225" s="15" t="str">
        <f t="shared" si="3"/>
        <v/>
      </c>
      <c r="AM225" s="15" t="str">
        <f>IF(AF225&lt;&gt;"",IF(ISNUMBER(T225),COUNT(AM$2:AM224)+1,""),"")</f>
        <v/>
      </c>
    </row>
    <row r="226" spans="35:39" x14ac:dyDescent="0.15">
      <c r="AI226" s="15" t="str">
        <f>_xlfn.IFNA(IF(INDEX(製品仕様マスタ!C:C,MATCH(W2Pデータ貼り付け!T226,製品仕様マスタ!B:B,0))=0,"",INDEX(製品仕様マスタ!C:C,MATCH(W2Pデータ貼り付け!T226,製品仕様マスタ!B:B,0))),"")</f>
        <v/>
      </c>
      <c r="AJ226" s="15" t="str">
        <f>_xlfn.IFNA(IF(INDEX(製品仕様マスタ!AK:AK,MATCH(W2Pデータ貼り付け!T226,製品仕様マスタ!B:B,0))=0,"",INDEX(製品仕様マスタ!AK:AK,MATCH(W2Pデータ貼り付け!T226,製品仕様マスタ!B:B,0))),"")</f>
        <v/>
      </c>
      <c r="AK226" s="198" t="str">
        <f>_xlfn.IFNA(IF(INDEX(製品仕様マスタ!AY:AY,MATCH(W2Pデータ貼り付け!T226,製品仕様マスタ!B:B,0))=0,"",IF(INDEX(製品仕様マスタ!AY:AY,MATCH(W2Pデータ貼り付け!T226,製品仕様マスタ!B:B,0)) &lt;&gt; "-",INDEX(製品仕様マスタ!AY:AY,MATCH(W2Pデータ貼り付け!T226,製品仕様マスタ!B:B,0)),INDEX(製品仕様マスタ!AZ$1:BZ$500,MATCH(W2Pデータ貼り付け!T226,製品仕様マスタ!B:B,0),MATCH(W2Pデータ貼り付け!V226,製品仕様マスタ!AZ$1:BZ$1,0)))),"")</f>
        <v/>
      </c>
      <c r="AL226" s="15" t="str">
        <f t="shared" si="3"/>
        <v/>
      </c>
      <c r="AM226" s="15" t="str">
        <f>IF(AF226&lt;&gt;"",IF(ISNUMBER(T226),COUNT(AM$2:AM225)+1,""),"")</f>
        <v/>
      </c>
    </row>
    <row r="227" spans="35:39" x14ac:dyDescent="0.15">
      <c r="AI227" s="15" t="str">
        <f>_xlfn.IFNA(IF(INDEX(製品仕様マスタ!C:C,MATCH(W2Pデータ貼り付け!T227,製品仕様マスタ!B:B,0))=0,"",INDEX(製品仕様マスタ!C:C,MATCH(W2Pデータ貼り付け!T227,製品仕様マスタ!B:B,0))),"")</f>
        <v/>
      </c>
      <c r="AJ227" s="15" t="str">
        <f>_xlfn.IFNA(IF(INDEX(製品仕様マスタ!AK:AK,MATCH(W2Pデータ貼り付け!T227,製品仕様マスタ!B:B,0))=0,"",INDEX(製品仕様マスタ!AK:AK,MATCH(W2Pデータ貼り付け!T227,製品仕様マスタ!B:B,0))),"")</f>
        <v/>
      </c>
      <c r="AK227" s="198" t="str">
        <f>_xlfn.IFNA(IF(INDEX(製品仕様マスタ!AY:AY,MATCH(W2Pデータ貼り付け!T227,製品仕様マスタ!B:B,0))=0,"",IF(INDEX(製品仕様マスタ!AY:AY,MATCH(W2Pデータ貼り付け!T227,製品仕様マスタ!B:B,0)) &lt;&gt; "-",INDEX(製品仕様マスタ!AY:AY,MATCH(W2Pデータ貼り付け!T227,製品仕様マスタ!B:B,0)),INDEX(製品仕様マスタ!AZ$1:BZ$500,MATCH(W2Pデータ貼り付け!T227,製品仕様マスタ!B:B,0),MATCH(W2Pデータ貼り付け!V227,製品仕様マスタ!AZ$1:BZ$1,0)))),"")</f>
        <v/>
      </c>
      <c r="AL227" s="15" t="str">
        <f t="shared" si="3"/>
        <v/>
      </c>
      <c r="AM227" s="15" t="str">
        <f>IF(AF227&lt;&gt;"",IF(ISNUMBER(T227),COUNT(AM$2:AM226)+1,""),"")</f>
        <v/>
      </c>
    </row>
    <row r="228" spans="35:39" x14ac:dyDescent="0.15">
      <c r="AI228" s="15" t="str">
        <f>_xlfn.IFNA(IF(INDEX(製品仕様マスタ!C:C,MATCH(W2Pデータ貼り付け!T228,製品仕様マスタ!B:B,0))=0,"",INDEX(製品仕様マスタ!C:C,MATCH(W2Pデータ貼り付け!T228,製品仕様マスタ!B:B,0))),"")</f>
        <v/>
      </c>
      <c r="AJ228" s="15" t="str">
        <f>_xlfn.IFNA(IF(INDEX(製品仕様マスタ!AK:AK,MATCH(W2Pデータ貼り付け!T228,製品仕様マスタ!B:B,0))=0,"",INDEX(製品仕様マスタ!AK:AK,MATCH(W2Pデータ貼り付け!T228,製品仕様マスタ!B:B,0))),"")</f>
        <v/>
      </c>
      <c r="AK228" s="198" t="str">
        <f>_xlfn.IFNA(IF(INDEX(製品仕様マスタ!AY:AY,MATCH(W2Pデータ貼り付け!T228,製品仕様マスタ!B:B,0))=0,"",IF(INDEX(製品仕様マスタ!AY:AY,MATCH(W2Pデータ貼り付け!T228,製品仕様マスタ!B:B,0)) &lt;&gt; "-",INDEX(製品仕様マスタ!AY:AY,MATCH(W2Pデータ貼り付け!T228,製品仕様マスタ!B:B,0)),INDEX(製品仕様マスタ!AZ$1:BZ$500,MATCH(W2Pデータ貼り付け!T228,製品仕様マスタ!B:B,0),MATCH(W2Pデータ貼り付け!V228,製品仕様マスタ!AZ$1:BZ$1,0)))),"")</f>
        <v/>
      </c>
      <c r="AL228" s="15" t="str">
        <f t="shared" si="3"/>
        <v/>
      </c>
      <c r="AM228" s="15" t="str">
        <f>IF(AF228&lt;&gt;"",IF(ISNUMBER(T228),COUNT(AM$2:AM227)+1,""),"")</f>
        <v/>
      </c>
    </row>
    <row r="229" spans="35:39" x14ac:dyDescent="0.15">
      <c r="AI229" s="15" t="str">
        <f>_xlfn.IFNA(IF(INDEX(製品仕様マスタ!C:C,MATCH(W2Pデータ貼り付け!T229,製品仕様マスタ!B:B,0))=0,"",INDEX(製品仕様マスタ!C:C,MATCH(W2Pデータ貼り付け!T229,製品仕様マスタ!B:B,0))),"")</f>
        <v/>
      </c>
      <c r="AJ229" s="15" t="str">
        <f>_xlfn.IFNA(IF(INDEX(製品仕様マスタ!AK:AK,MATCH(W2Pデータ貼り付け!T229,製品仕様マスタ!B:B,0))=0,"",INDEX(製品仕様マスタ!AK:AK,MATCH(W2Pデータ貼り付け!T229,製品仕様マスタ!B:B,0))),"")</f>
        <v/>
      </c>
      <c r="AK229" s="198" t="str">
        <f>_xlfn.IFNA(IF(INDEX(製品仕様マスタ!AY:AY,MATCH(W2Pデータ貼り付け!T229,製品仕様マスタ!B:B,0))=0,"",IF(INDEX(製品仕様マスタ!AY:AY,MATCH(W2Pデータ貼り付け!T229,製品仕様マスタ!B:B,0)) &lt;&gt; "-",INDEX(製品仕様マスタ!AY:AY,MATCH(W2Pデータ貼り付け!T229,製品仕様マスタ!B:B,0)),INDEX(製品仕様マスタ!AZ$1:BZ$500,MATCH(W2Pデータ貼り付け!T229,製品仕様マスタ!B:B,0),MATCH(W2Pデータ貼り付け!V229,製品仕様マスタ!AZ$1:BZ$1,0)))),"")</f>
        <v/>
      </c>
      <c r="AL229" s="15" t="str">
        <f t="shared" si="3"/>
        <v/>
      </c>
      <c r="AM229" s="15" t="str">
        <f>IF(AF229&lt;&gt;"",IF(ISNUMBER(T229),COUNT(AM$2:AM228)+1,""),"")</f>
        <v/>
      </c>
    </row>
    <row r="230" spans="35:39" x14ac:dyDescent="0.15">
      <c r="AI230" s="15" t="str">
        <f>_xlfn.IFNA(IF(INDEX(製品仕様マスタ!C:C,MATCH(W2Pデータ貼り付け!T230,製品仕様マスタ!B:B,0))=0,"",INDEX(製品仕様マスタ!C:C,MATCH(W2Pデータ貼り付け!T230,製品仕様マスタ!B:B,0))),"")</f>
        <v/>
      </c>
      <c r="AJ230" s="15" t="str">
        <f>_xlfn.IFNA(IF(INDEX(製品仕様マスタ!AK:AK,MATCH(W2Pデータ貼り付け!T230,製品仕様マスタ!B:B,0))=0,"",INDEX(製品仕様マスタ!AK:AK,MATCH(W2Pデータ貼り付け!T230,製品仕様マスタ!B:B,0))),"")</f>
        <v/>
      </c>
      <c r="AK230" s="198" t="str">
        <f>_xlfn.IFNA(IF(INDEX(製品仕様マスタ!AY:AY,MATCH(W2Pデータ貼り付け!T230,製品仕様マスタ!B:B,0))=0,"",IF(INDEX(製品仕様マスタ!AY:AY,MATCH(W2Pデータ貼り付け!T230,製品仕様マスタ!B:B,0)) &lt;&gt; "-",INDEX(製品仕様マスタ!AY:AY,MATCH(W2Pデータ貼り付け!T230,製品仕様マスタ!B:B,0)),INDEX(製品仕様マスタ!AZ$1:BZ$500,MATCH(W2Pデータ貼り付け!T230,製品仕様マスタ!B:B,0),MATCH(W2Pデータ貼り付け!V230,製品仕様マスタ!AZ$1:BZ$1,0)))),"")</f>
        <v/>
      </c>
      <c r="AL230" s="15" t="str">
        <f t="shared" si="3"/>
        <v/>
      </c>
      <c r="AM230" s="15" t="str">
        <f>IF(AF230&lt;&gt;"",IF(ISNUMBER(T230),COUNT(AM$2:AM229)+1,""),"")</f>
        <v/>
      </c>
    </row>
    <row r="231" spans="35:39" x14ac:dyDescent="0.15">
      <c r="AI231" s="15" t="str">
        <f>_xlfn.IFNA(IF(INDEX(製品仕様マスタ!C:C,MATCH(W2Pデータ貼り付け!T231,製品仕様マスタ!B:B,0))=0,"",INDEX(製品仕様マスタ!C:C,MATCH(W2Pデータ貼り付け!T231,製品仕様マスタ!B:B,0))),"")</f>
        <v/>
      </c>
      <c r="AJ231" s="15" t="str">
        <f>_xlfn.IFNA(IF(INDEX(製品仕様マスタ!AK:AK,MATCH(W2Pデータ貼り付け!T231,製品仕様マスタ!B:B,0))=0,"",INDEX(製品仕様マスタ!AK:AK,MATCH(W2Pデータ貼り付け!T231,製品仕様マスタ!B:B,0))),"")</f>
        <v/>
      </c>
      <c r="AK231" s="198" t="str">
        <f>_xlfn.IFNA(IF(INDEX(製品仕様マスタ!AY:AY,MATCH(W2Pデータ貼り付け!T231,製品仕様マスタ!B:B,0))=0,"",IF(INDEX(製品仕様マスタ!AY:AY,MATCH(W2Pデータ貼り付け!T231,製品仕様マスタ!B:B,0)) &lt;&gt; "-",INDEX(製品仕様マスタ!AY:AY,MATCH(W2Pデータ貼り付け!T231,製品仕様マスタ!B:B,0)),INDEX(製品仕様マスタ!AZ$1:BZ$500,MATCH(W2Pデータ貼り付け!T231,製品仕様マスタ!B:B,0),MATCH(W2Pデータ貼り付け!V231,製品仕様マスタ!AZ$1:BZ$1,0)))),"")</f>
        <v/>
      </c>
      <c r="AL231" s="15" t="str">
        <f t="shared" si="3"/>
        <v/>
      </c>
      <c r="AM231" s="15" t="str">
        <f>IF(AF231&lt;&gt;"",IF(ISNUMBER(T231),COUNT(AM$2:AM230)+1,""),"")</f>
        <v/>
      </c>
    </row>
    <row r="232" spans="35:39" x14ac:dyDescent="0.15">
      <c r="AI232" s="15" t="str">
        <f>_xlfn.IFNA(IF(INDEX(製品仕様マスタ!C:C,MATCH(W2Pデータ貼り付け!T232,製品仕様マスタ!B:B,0))=0,"",INDEX(製品仕様マスタ!C:C,MATCH(W2Pデータ貼り付け!T232,製品仕様マスタ!B:B,0))),"")</f>
        <v/>
      </c>
      <c r="AJ232" s="15" t="str">
        <f>_xlfn.IFNA(IF(INDEX(製品仕様マスタ!AK:AK,MATCH(W2Pデータ貼り付け!T232,製品仕様マスタ!B:B,0))=0,"",INDEX(製品仕様マスタ!AK:AK,MATCH(W2Pデータ貼り付け!T232,製品仕様マスタ!B:B,0))),"")</f>
        <v/>
      </c>
      <c r="AK232" s="198" t="str">
        <f>_xlfn.IFNA(IF(INDEX(製品仕様マスタ!AY:AY,MATCH(W2Pデータ貼り付け!T232,製品仕様マスタ!B:B,0))=0,"",IF(INDEX(製品仕様マスタ!AY:AY,MATCH(W2Pデータ貼り付け!T232,製品仕様マスタ!B:B,0)) &lt;&gt; "-",INDEX(製品仕様マスタ!AY:AY,MATCH(W2Pデータ貼り付け!T232,製品仕様マスタ!B:B,0)),INDEX(製品仕様マスタ!AZ$1:BZ$500,MATCH(W2Pデータ貼り付け!T232,製品仕様マスタ!B:B,0),MATCH(W2Pデータ貼り付け!V232,製品仕様マスタ!AZ$1:BZ$1,0)))),"")</f>
        <v/>
      </c>
      <c r="AL232" s="15" t="str">
        <f t="shared" si="3"/>
        <v/>
      </c>
      <c r="AM232" s="15" t="str">
        <f>IF(AF232&lt;&gt;"",IF(ISNUMBER(T232),COUNT(AM$2:AM231)+1,""),"")</f>
        <v/>
      </c>
    </row>
    <row r="233" spans="35:39" x14ac:dyDescent="0.15">
      <c r="AI233" s="15" t="str">
        <f>_xlfn.IFNA(IF(INDEX(製品仕様マスタ!C:C,MATCH(W2Pデータ貼り付け!T233,製品仕様マスタ!B:B,0))=0,"",INDEX(製品仕様マスタ!C:C,MATCH(W2Pデータ貼り付け!T233,製品仕様マスタ!B:B,0))),"")</f>
        <v/>
      </c>
      <c r="AJ233" s="15" t="str">
        <f>_xlfn.IFNA(IF(INDEX(製品仕様マスタ!AK:AK,MATCH(W2Pデータ貼り付け!T233,製品仕様マスタ!B:B,0))=0,"",INDEX(製品仕様マスタ!AK:AK,MATCH(W2Pデータ貼り付け!T233,製品仕様マスタ!B:B,0))),"")</f>
        <v/>
      </c>
      <c r="AK233" s="198" t="str">
        <f>_xlfn.IFNA(IF(INDEX(製品仕様マスタ!AY:AY,MATCH(W2Pデータ貼り付け!T233,製品仕様マスタ!B:B,0))=0,"",IF(INDEX(製品仕様マスタ!AY:AY,MATCH(W2Pデータ貼り付け!T233,製品仕様マスタ!B:B,0)) &lt;&gt; "-",INDEX(製品仕様マスタ!AY:AY,MATCH(W2Pデータ貼り付け!T233,製品仕様マスタ!B:B,0)),INDEX(製品仕様マスタ!AZ$1:BZ$500,MATCH(W2Pデータ貼り付け!T233,製品仕様マスタ!B:B,0),MATCH(W2Pデータ貼り付け!V233,製品仕様マスタ!AZ$1:BZ$1,0)))),"")</f>
        <v/>
      </c>
      <c r="AL233" s="15" t="str">
        <f t="shared" si="3"/>
        <v/>
      </c>
      <c r="AM233" s="15" t="str">
        <f>IF(AF233&lt;&gt;"",IF(ISNUMBER(T233),COUNT(AM$2:AM232)+1,""),"")</f>
        <v/>
      </c>
    </row>
    <row r="234" spans="35:39" x14ac:dyDescent="0.15">
      <c r="AI234" s="15" t="str">
        <f>_xlfn.IFNA(IF(INDEX(製品仕様マスタ!C:C,MATCH(W2Pデータ貼り付け!T234,製品仕様マスタ!B:B,0))=0,"",INDEX(製品仕様マスタ!C:C,MATCH(W2Pデータ貼り付け!T234,製品仕様マスタ!B:B,0))),"")</f>
        <v/>
      </c>
      <c r="AJ234" s="15" t="str">
        <f>_xlfn.IFNA(IF(INDEX(製品仕様マスタ!AK:AK,MATCH(W2Pデータ貼り付け!T234,製品仕様マスタ!B:B,0))=0,"",INDEX(製品仕様マスタ!AK:AK,MATCH(W2Pデータ貼り付け!T234,製品仕様マスタ!B:B,0))),"")</f>
        <v/>
      </c>
      <c r="AK234" s="198" t="str">
        <f>_xlfn.IFNA(IF(INDEX(製品仕様マスタ!AY:AY,MATCH(W2Pデータ貼り付け!T234,製品仕様マスタ!B:B,0))=0,"",IF(INDEX(製品仕様マスタ!AY:AY,MATCH(W2Pデータ貼り付け!T234,製品仕様マスタ!B:B,0)) &lt;&gt; "-",INDEX(製品仕様マスタ!AY:AY,MATCH(W2Pデータ貼り付け!T234,製品仕様マスタ!B:B,0)),INDEX(製品仕様マスタ!AZ$1:BZ$500,MATCH(W2Pデータ貼り付け!T234,製品仕様マスタ!B:B,0),MATCH(W2Pデータ貼り付け!V234,製品仕様マスタ!AZ$1:BZ$1,0)))),"")</f>
        <v/>
      </c>
      <c r="AL234" s="15" t="str">
        <f t="shared" si="3"/>
        <v/>
      </c>
      <c r="AM234" s="15" t="str">
        <f>IF(AF234&lt;&gt;"",IF(ISNUMBER(T234),COUNT(AM$2:AM233)+1,""),"")</f>
        <v/>
      </c>
    </row>
    <row r="235" spans="35:39" x14ac:dyDescent="0.15">
      <c r="AI235" s="15" t="str">
        <f>_xlfn.IFNA(IF(INDEX(製品仕様マスタ!C:C,MATCH(W2Pデータ貼り付け!T235,製品仕様マスタ!B:B,0))=0,"",INDEX(製品仕様マスタ!C:C,MATCH(W2Pデータ貼り付け!T235,製品仕様マスタ!B:B,0))),"")</f>
        <v/>
      </c>
      <c r="AJ235" s="15" t="str">
        <f>_xlfn.IFNA(IF(INDEX(製品仕様マスタ!AK:AK,MATCH(W2Pデータ貼り付け!T235,製品仕様マスタ!B:B,0))=0,"",INDEX(製品仕様マスタ!AK:AK,MATCH(W2Pデータ貼り付け!T235,製品仕様マスタ!B:B,0))),"")</f>
        <v/>
      </c>
      <c r="AK235" s="198" t="str">
        <f>_xlfn.IFNA(IF(INDEX(製品仕様マスタ!AY:AY,MATCH(W2Pデータ貼り付け!T235,製品仕様マスタ!B:B,0))=0,"",IF(INDEX(製品仕様マスタ!AY:AY,MATCH(W2Pデータ貼り付け!T235,製品仕様マスタ!B:B,0)) &lt;&gt; "-",INDEX(製品仕様マスタ!AY:AY,MATCH(W2Pデータ貼り付け!T235,製品仕様マスタ!B:B,0)),INDEX(製品仕様マスタ!AZ$1:BZ$500,MATCH(W2Pデータ貼り付け!T235,製品仕様マスタ!B:B,0),MATCH(W2Pデータ貼り付け!V235,製品仕様マスタ!AZ$1:BZ$1,0)))),"")</f>
        <v/>
      </c>
      <c r="AL235" s="15" t="str">
        <f t="shared" si="3"/>
        <v/>
      </c>
      <c r="AM235" s="15" t="str">
        <f>IF(AF235&lt;&gt;"",IF(ISNUMBER(T235),COUNT(AM$2:AM234)+1,""),"")</f>
        <v/>
      </c>
    </row>
    <row r="236" spans="35:39" x14ac:dyDescent="0.15">
      <c r="AI236" s="15" t="str">
        <f>_xlfn.IFNA(IF(INDEX(製品仕様マスタ!C:C,MATCH(W2Pデータ貼り付け!T236,製品仕様マスタ!B:B,0))=0,"",INDEX(製品仕様マスタ!C:C,MATCH(W2Pデータ貼り付け!T236,製品仕様マスタ!B:B,0))),"")</f>
        <v/>
      </c>
      <c r="AJ236" s="15" t="str">
        <f>_xlfn.IFNA(IF(INDEX(製品仕様マスタ!AK:AK,MATCH(W2Pデータ貼り付け!T236,製品仕様マスタ!B:B,0))=0,"",INDEX(製品仕様マスタ!AK:AK,MATCH(W2Pデータ貼り付け!T236,製品仕様マスタ!B:B,0))),"")</f>
        <v/>
      </c>
      <c r="AK236" s="198" t="str">
        <f>_xlfn.IFNA(IF(INDEX(製品仕様マスタ!AY:AY,MATCH(W2Pデータ貼り付け!T236,製品仕様マスタ!B:B,0))=0,"",IF(INDEX(製品仕様マスタ!AY:AY,MATCH(W2Pデータ貼り付け!T236,製品仕様マスタ!B:B,0)) &lt;&gt; "-",INDEX(製品仕様マスタ!AY:AY,MATCH(W2Pデータ貼り付け!T236,製品仕様マスタ!B:B,0)),INDEX(製品仕様マスタ!AZ$1:BZ$500,MATCH(W2Pデータ貼り付け!T236,製品仕様マスタ!B:B,0),MATCH(W2Pデータ貼り付け!V236,製品仕様マスタ!AZ$1:BZ$1,0)))),"")</f>
        <v/>
      </c>
      <c r="AL236" s="15" t="str">
        <f t="shared" si="3"/>
        <v/>
      </c>
      <c r="AM236" s="15" t="str">
        <f>IF(AF236&lt;&gt;"",IF(ISNUMBER(T236),COUNT(AM$2:AM235)+1,""),"")</f>
        <v/>
      </c>
    </row>
    <row r="237" spans="35:39" x14ac:dyDescent="0.15">
      <c r="AI237" s="15" t="str">
        <f>_xlfn.IFNA(IF(INDEX(製品仕様マスタ!C:C,MATCH(W2Pデータ貼り付け!T237,製品仕様マスタ!B:B,0))=0,"",INDEX(製品仕様マスタ!C:C,MATCH(W2Pデータ貼り付け!T237,製品仕様マスタ!B:B,0))),"")</f>
        <v/>
      </c>
      <c r="AJ237" s="15" t="str">
        <f>_xlfn.IFNA(IF(INDEX(製品仕様マスタ!AK:AK,MATCH(W2Pデータ貼り付け!T237,製品仕様マスタ!B:B,0))=0,"",INDEX(製品仕様マスタ!AK:AK,MATCH(W2Pデータ貼り付け!T237,製品仕様マスタ!B:B,0))),"")</f>
        <v/>
      </c>
      <c r="AK237" s="198" t="str">
        <f>_xlfn.IFNA(IF(INDEX(製品仕様マスタ!AY:AY,MATCH(W2Pデータ貼り付け!T237,製品仕様マスタ!B:B,0))=0,"",IF(INDEX(製品仕様マスタ!AY:AY,MATCH(W2Pデータ貼り付け!T237,製品仕様マスタ!B:B,0)) &lt;&gt; "-",INDEX(製品仕様マスタ!AY:AY,MATCH(W2Pデータ貼り付け!T237,製品仕様マスタ!B:B,0)),INDEX(製品仕様マスタ!AZ$1:BZ$500,MATCH(W2Pデータ貼り付け!T237,製品仕様マスタ!B:B,0),MATCH(W2Pデータ貼り付け!V237,製品仕様マスタ!AZ$1:BZ$1,0)))),"")</f>
        <v/>
      </c>
      <c r="AL237" s="15" t="str">
        <f t="shared" si="3"/>
        <v/>
      </c>
      <c r="AM237" s="15" t="str">
        <f>IF(AF237&lt;&gt;"",IF(ISNUMBER(T237),COUNT(AM$2:AM236)+1,""),"")</f>
        <v/>
      </c>
    </row>
    <row r="238" spans="35:39" x14ac:dyDescent="0.15">
      <c r="AI238" s="15" t="str">
        <f>_xlfn.IFNA(IF(INDEX(製品仕様マスタ!C:C,MATCH(W2Pデータ貼り付け!T238,製品仕様マスタ!B:B,0))=0,"",INDEX(製品仕様マスタ!C:C,MATCH(W2Pデータ貼り付け!T238,製品仕様マスタ!B:B,0))),"")</f>
        <v/>
      </c>
      <c r="AJ238" s="15" t="str">
        <f>_xlfn.IFNA(IF(INDEX(製品仕様マスタ!AK:AK,MATCH(W2Pデータ貼り付け!T238,製品仕様マスタ!B:B,0))=0,"",INDEX(製品仕様マスタ!AK:AK,MATCH(W2Pデータ貼り付け!T238,製品仕様マスタ!B:B,0))),"")</f>
        <v/>
      </c>
      <c r="AK238" s="198" t="str">
        <f>_xlfn.IFNA(IF(INDEX(製品仕様マスタ!AY:AY,MATCH(W2Pデータ貼り付け!T238,製品仕様マスタ!B:B,0))=0,"",IF(INDEX(製品仕様マスタ!AY:AY,MATCH(W2Pデータ貼り付け!T238,製品仕様マスタ!B:B,0)) &lt;&gt; "-",INDEX(製品仕様マスタ!AY:AY,MATCH(W2Pデータ貼り付け!T238,製品仕様マスタ!B:B,0)),INDEX(製品仕様マスタ!AZ$1:BZ$500,MATCH(W2Pデータ貼り付け!T238,製品仕様マスタ!B:B,0),MATCH(W2Pデータ貼り付け!V238,製品仕様マスタ!AZ$1:BZ$1,0)))),"")</f>
        <v/>
      </c>
      <c r="AL238" s="15" t="str">
        <f t="shared" si="3"/>
        <v/>
      </c>
      <c r="AM238" s="15" t="str">
        <f>IF(AF238&lt;&gt;"",IF(ISNUMBER(T238),COUNT(AM$2:AM237)+1,""),"")</f>
        <v/>
      </c>
    </row>
    <row r="239" spans="35:39" x14ac:dyDescent="0.15">
      <c r="AI239" s="15" t="str">
        <f>_xlfn.IFNA(IF(INDEX(製品仕様マスタ!C:C,MATCH(W2Pデータ貼り付け!T239,製品仕様マスタ!B:B,0))=0,"",INDEX(製品仕様マスタ!C:C,MATCH(W2Pデータ貼り付け!T239,製品仕様マスタ!B:B,0))),"")</f>
        <v/>
      </c>
      <c r="AJ239" s="15" t="str">
        <f>_xlfn.IFNA(IF(INDEX(製品仕様マスタ!AK:AK,MATCH(W2Pデータ貼り付け!T239,製品仕様マスタ!B:B,0))=0,"",INDEX(製品仕様マスタ!AK:AK,MATCH(W2Pデータ貼り付け!T239,製品仕様マスタ!B:B,0))),"")</f>
        <v/>
      </c>
      <c r="AK239" s="198" t="str">
        <f>_xlfn.IFNA(IF(INDEX(製品仕様マスタ!AY:AY,MATCH(W2Pデータ貼り付け!T239,製品仕様マスタ!B:B,0))=0,"",IF(INDEX(製品仕様マスタ!AY:AY,MATCH(W2Pデータ貼り付け!T239,製品仕様マスタ!B:B,0)) &lt;&gt; "-",INDEX(製品仕様マスタ!AY:AY,MATCH(W2Pデータ貼り付け!T239,製品仕様マスタ!B:B,0)),INDEX(製品仕様マスタ!AZ$1:BZ$500,MATCH(W2Pデータ貼り付け!T239,製品仕様マスタ!B:B,0),MATCH(W2Pデータ貼り付け!V239,製品仕様マスタ!AZ$1:BZ$1,0)))),"")</f>
        <v/>
      </c>
      <c r="AL239" s="15" t="str">
        <f t="shared" si="3"/>
        <v/>
      </c>
      <c r="AM239" s="15" t="str">
        <f>IF(AF239&lt;&gt;"",IF(ISNUMBER(T239),COUNT(AM$2:AM238)+1,""),"")</f>
        <v/>
      </c>
    </row>
    <row r="240" spans="35:39" x14ac:dyDescent="0.15">
      <c r="AI240" s="15" t="str">
        <f>_xlfn.IFNA(IF(INDEX(製品仕様マスタ!C:C,MATCH(W2Pデータ貼り付け!T240,製品仕様マスタ!B:B,0))=0,"",INDEX(製品仕様マスタ!C:C,MATCH(W2Pデータ貼り付け!T240,製品仕様マスタ!B:B,0))),"")</f>
        <v/>
      </c>
      <c r="AJ240" s="15" t="str">
        <f>_xlfn.IFNA(IF(INDEX(製品仕様マスタ!AK:AK,MATCH(W2Pデータ貼り付け!T240,製品仕様マスタ!B:B,0))=0,"",INDEX(製品仕様マスタ!AK:AK,MATCH(W2Pデータ貼り付け!T240,製品仕様マスタ!B:B,0))),"")</f>
        <v/>
      </c>
      <c r="AK240" s="198" t="str">
        <f>_xlfn.IFNA(IF(INDEX(製品仕様マスタ!AY:AY,MATCH(W2Pデータ貼り付け!T240,製品仕様マスタ!B:B,0))=0,"",IF(INDEX(製品仕様マスタ!AY:AY,MATCH(W2Pデータ貼り付け!T240,製品仕様マスタ!B:B,0)) &lt;&gt; "-",INDEX(製品仕様マスタ!AY:AY,MATCH(W2Pデータ貼り付け!T240,製品仕様マスタ!B:B,0)),INDEX(製品仕様マスタ!AZ$1:BZ$500,MATCH(W2Pデータ貼り付け!T240,製品仕様マスタ!B:B,0),MATCH(W2Pデータ貼り付け!V240,製品仕様マスタ!AZ$1:BZ$1,0)))),"")</f>
        <v/>
      </c>
      <c r="AL240" s="15" t="str">
        <f t="shared" si="3"/>
        <v/>
      </c>
      <c r="AM240" s="15" t="str">
        <f>IF(AF240&lt;&gt;"",IF(ISNUMBER(T240),COUNT(AM$2:AM239)+1,""),"")</f>
        <v/>
      </c>
    </row>
    <row r="241" spans="35:39" x14ac:dyDescent="0.15">
      <c r="AI241" s="15" t="str">
        <f>_xlfn.IFNA(IF(INDEX(製品仕様マスタ!C:C,MATCH(W2Pデータ貼り付け!T241,製品仕様マスタ!B:B,0))=0,"",INDEX(製品仕様マスタ!C:C,MATCH(W2Pデータ貼り付け!T241,製品仕様マスタ!B:B,0))),"")</f>
        <v/>
      </c>
      <c r="AJ241" s="15" t="str">
        <f>_xlfn.IFNA(IF(INDEX(製品仕様マスタ!AK:AK,MATCH(W2Pデータ貼り付け!T241,製品仕様マスタ!B:B,0))=0,"",INDEX(製品仕様マスタ!AK:AK,MATCH(W2Pデータ貼り付け!T241,製品仕様マスタ!B:B,0))),"")</f>
        <v/>
      </c>
      <c r="AK241" s="198" t="str">
        <f>_xlfn.IFNA(IF(INDEX(製品仕様マスタ!AY:AY,MATCH(W2Pデータ貼り付け!T241,製品仕様マスタ!B:B,0))=0,"",IF(INDEX(製品仕様マスタ!AY:AY,MATCH(W2Pデータ貼り付け!T241,製品仕様マスタ!B:B,0)) &lt;&gt; "-",INDEX(製品仕様マスタ!AY:AY,MATCH(W2Pデータ貼り付け!T241,製品仕様マスタ!B:B,0)),INDEX(製品仕様マスタ!AZ$1:BZ$500,MATCH(W2Pデータ貼り付け!T241,製品仕様マスタ!B:B,0),MATCH(W2Pデータ貼り付け!V241,製品仕様マスタ!AZ$1:BZ$1,0)))),"")</f>
        <v/>
      </c>
      <c r="AL241" s="15" t="str">
        <f t="shared" si="3"/>
        <v/>
      </c>
      <c r="AM241" s="15" t="str">
        <f>IF(AF241&lt;&gt;"",IF(ISNUMBER(T241),COUNT(AM$2:AM240)+1,""),"")</f>
        <v/>
      </c>
    </row>
    <row r="242" spans="35:39" x14ac:dyDescent="0.15">
      <c r="AI242" s="15" t="str">
        <f>_xlfn.IFNA(IF(INDEX(製品仕様マスタ!C:C,MATCH(W2Pデータ貼り付け!T242,製品仕様マスタ!B:B,0))=0,"",INDEX(製品仕様マスタ!C:C,MATCH(W2Pデータ貼り付け!T242,製品仕様マスタ!B:B,0))),"")</f>
        <v/>
      </c>
      <c r="AJ242" s="15" t="str">
        <f>_xlfn.IFNA(IF(INDEX(製品仕様マスタ!AK:AK,MATCH(W2Pデータ貼り付け!T242,製品仕様マスタ!B:B,0))=0,"",INDEX(製品仕様マスタ!AK:AK,MATCH(W2Pデータ貼り付け!T242,製品仕様マスタ!B:B,0))),"")</f>
        <v/>
      </c>
      <c r="AK242" s="198" t="str">
        <f>_xlfn.IFNA(IF(INDEX(製品仕様マスタ!AY:AY,MATCH(W2Pデータ貼り付け!T242,製品仕様マスタ!B:B,0))=0,"",IF(INDEX(製品仕様マスタ!AY:AY,MATCH(W2Pデータ貼り付け!T242,製品仕様マスタ!B:B,0)) &lt;&gt; "-",INDEX(製品仕様マスタ!AY:AY,MATCH(W2Pデータ貼り付け!T242,製品仕様マスタ!B:B,0)),INDEX(製品仕様マスタ!AZ$1:BZ$500,MATCH(W2Pデータ貼り付け!T242,製品仕様マスタ!B:B,0),MATCH(W2Pデータ貼り付け!V242,製品仕様マスタ!AZ$1:BZ$1,0)))),"")</f>
        <v/>
      </c>
      <c r="AL242" s="15" t="str">
        <f t="shared" si="3"/>
        <v/>
      </c>
      <c r="AM242" s="15" t="str">
        <f>IF(AF242&lt;&gt;"",IF(ISNUMBER(T242),COUNT(AM$2:AM241)+1,""),"")</f>
        <v/>
      </c>
    </row>
    <row r="243" spans="35:39" x14ac:dyDescent="0.15">
      <c r="AI243" s="15" t="str">
        <f>_xlfn.IFNA(IF(INDEX(製品仕様マスタ!C:C,MATCH(W2Pデータ貼り付け!T243,製品仕様マスタ!B:B,0))=0,"",INDEX(製品仕様マスタ!C:C,MATCH(W2Pデータ貼り付け!T243,製品仕様マスタ!B:B,0))),"")</f>
        <v/>
      </c>
      <c r="AJ243" s="15" t="str">
        <f>_xlfn.IFNA(IF(INDEX(製品仕様マスタ!AK:AK,MATCH(W2Pデータ貼り付け!T243,製品仕様マスタ!B:B,0))=0,"",INDEX(製品仕様マスタ!AK:AK,MATCH(W2Pデータ貼り付け!T243,製品仕様マスタ!B:B,0))),"")</f>
        <v/>
      </c>
      <c r="AK243" s="198" t="str">
        <f>_xlfn.IFNA(IF(INDEX(製品仕様マスタ!AY:AY,MATCH(W2Pデータ貼り付け!T243,製品仕様マスタ!B:B,0))=0,"",IF(INDEX(製品仕様マスタ!AY:AY,MATCH(W2Pデータ貼り付け!T243,製品仕様マスタ!B:B,0)) &lt;&gt; "-",INDEX(製品仕様マスタ!AY:AY,MATCH(W2Pデータ貼り付け!T243,製品仕様マスタ!B:B,0)),INDEX(製品仕様マスタ!AZ$1:BZ$500,MATCH(W2Pデータ貼り付け!T243,製品仕様マスタ!B:B,0),MATCH(W2Pデータ貼り付け!V243,製品仕様マスタ!AZ$1:BZ$1,0)))),"")</f>
        <v/>
      </c>
      <c r="AL243" s="15" t="str">
        <f t="shared" si="3"/>
        <v/>
      </c>
      <c r="AM243" s="15" t="str">
        <f>IF(AF243&lt;&gt;"",IF(ISNUMBER(T243),COUNT(AM$2:AM242)+1,""),"")</f>
        <v/>
      </c>
    </row>
    <row r="244" spans="35:39" x14ac:dyDescent="0.15">
      <c r="AI244" s="15" t="str">
        <f>_xlfn.IFNA(IF(INDEX(製品仕様マスタ!C:C,MATCH(W2Pデータ貼り付け!T244,製品仕様マスタ!B:B,0))=0,"",INDEX(製品仕様マスタ!C:C,MATCH(W2Pデータ貼り付け!T244,製品仕様マスタ!B:B,0))),"")</f>
        <v/>
      </c>
      <c r="AJ244" s="15" t="str">
        <f>_xlfn.IFNA(IF(INDEX(製品仕様マスタ!AK:AK,MATCH(W2Pデータ貼り付け!T244,製品仕様マスタ!B:B,0))=0,"",INDEX(製品仕様マスタ!AK:AK,MATCH(W2Pデータ貼り付け!T244,製品仕様マスタ!B:B,0))),"")</f>
        <v/>
      </c>
      <c r="AK244" s="198" t="str">
        <f>_xlfn.IFNA(IF(INDEX(製品仕様マスタ!AY:AY,MATCH(W2Pデータ貼り付け!T244,製品仕様マスタ!B:B,0))=0,"",IF(INDEX(製品仕様マスタ!AY:AY,MATCH(W2Pデータ貼り付け!T244,製品仕様マスタ!B:B,0)) &lt;&gt; "-",INDEX(製品仕様マスタ!AY:AY,MATCH(W2Pデータ貼り付け!T244,製品仕様マスタ!B:B,0)),INDEX(製品仕様マスタ!AZ$1:BZ$500,MATCH(W2Pデータ貼り付け!T244,製品仕様マスタ!B:B,0),MATCH(W2Pデータ貼り付け!V244,製品仕様マスタ!AZ$1:BZ$1,0)))),"")</f>
        <v/>
      </c>
      <c r="AL244" s="15" t="str">
        <f t="shared" si="3"/>
        <v/>
      </c>
      <c r="AM244" s="15" t="str">
        <f>IF(AF244&lt;&gt;"",IF(ISNUMBER(T244),COUNT(AM$2:AM243)+1,""),"")</f>
        <v/>
      </c>
    </row>
    <row r="245" spans="35:39" x14ac:dyDescent="0.15">
      <c r="AI245" s="15" t="str">
        <f>_xlfn.IFNA(IF(INDEX(製品仕様マスタ!C:C,MATCH(W2Pデータ貼り付け!T245,製品仕様マスタ!B:B,0))=0,"",INDEX(製品仕様マスタ!C:C,MATCH(W2Pデータ貼り付け!T245,製品仕様マスタ!B:B,0))),"")</f>
        <v/>
      </c>
      <c r="AJ245" s="15" t="str">
        <f>_xlfn.IFNA(IF(INDEX(製品仕様マスタ!AK:AK,MATCH(W2Pデータ貼り付け!T245,製品仕様マスタ!B:B,0))=0,"",INDEX(製品仕様マスタ!AK:AK,MATCH(W2Pデータ貼り付け!T245,製品仕様マスタ!B:B,0))),"")</f>
        <v/>
      </c>
      <c r="AK245" s="198" t="str">
        <f>_xlfn.IFNA(IF(INDEX(製品仕様マスタ!AY:AY,MATCH(W2Pデータ貼り付け!T245,製品仕様マスタ!B:B,0))=0,"",IF(INDEX(製品仕様マスタ!AY:AY,MATCH(W2Pデータ貼り付け!T245,製品仕様マスタ!B:B,0)) &lt;&gt; "-",INDEX(製品仕様マスタ!AY:AY,MATCH(W2Pデータ貼り付け!T245,製品仕様マスタ!B:B,0)),INDEX(製品仕様マスタ!AZ$1:BZ$500,MATCH(W2Pデータ貼り付け!T245,製品仕様マスタ!B:B,0),MATCH(W2Pデータ貼り付け!V245,製品仕様マスタ!AZ$1:BZ$1,0)))),"")</f>
        <v/>
      </c>
      <c r="AL245" s="15" t="str">
        <f t="shared" si="3"/>
        <v/>
      </c>
      <c r="AM245" s="15" t="str">
        <f>IF(AF245&lt;&gt;"",IF(ISNUMBER(T245),COUNT(AM$2:AM244)+1,""),"")</f>
        <v/>
      </c>
    </row>
    <row r="246" spans="35:39" x14ac:dyDescent="0.15">
      <c r="AI246" s="15" t="str">
        <f>_xlfn.IFNA(IF(INDEX(製品仕様マスタ!C:C,MATCH(W2Pデータ貼り付け!T246,製品仕様マスタ!B:B,0))=0,"",INDEX(製品仕様マスタ!C:C,MATCH(W2Pデータ貼り付け!T246,製品仕様マスタ!B:B,0))),"")</f>
        <v/>
      </c>
      <c r="AJ246" s="15" t="str">
        <f>_xlfn.IFNA(IF(INDEX(製品仕様マスタ!AK:AK,MATCH(W2Pデータ貼り付け!T246,製品仕様マスタ!B:B,0))=0,"",INDEX(製品仕様マスタ!AK:AK,MATCH(W2Pデータ貼り付け!T246,製品仕様マスタ!B:B,0))),"")</f>
        <v/>
      </c>
      <c r="AK246" s="198" t="str">
        <f>_xlfn.IFNA(IF(INDEX(製品仕様マスタ!AY:AY,MATCH(W2Pデータ貼り付け!T246,製品仕様マスタ!B:B,0))=0,"",IF(INDEX(製品仕様マスタ!AY:AY,MATCH(W2Pデータ貼り付け!T246,製品仕様マスタ!B:B,0)) &lt;&gt; "-",INDEX(製品仕様マスタ!AY:AY,MATCH(W2Pデータ貼り付け!T246,製品仕様マスタ!B:B,0)),INDEX(製品仕様マスタ!AZ$1:BZ$500,MATCH(W2Pデータ貼り付け!T246,製品仕様マスタ!B:B,0),MATCH(W2Pデータ貼り付け!V246,製品仕様マスタ!AZ$1:BZ$1,0)))),"")</f>
        <v/>
      </c>
      <c r="AL246" s="15" t="str">
        <f t="shared" si="3"/>
        <v/>
      </c>
      <c r="AM246" s="15" t="str">
        <f>IF(AF246&lt;&gt;"",IF(ISNUMBER(T246),COUNT(AM$2:AM245)+1,""),"")</f>
        <v/>
      </c>
    </row>
    <row r="247" spans="35:39" x14ac:dyDescent="0.15">
      <c r="AI247" s="15" t="str">
        <f>_xlfn.IFNA(IF(INDEX(製品仕様マスタ!C:C,MATCH(W2Pデータ貼り付け!T247,製品仕様マスタ!B:B,0))=0,"",INDEX(製品仕様マスタ!C:C,MATCH(W2Pデータ貼り付け!T247,製品仕様マスタ!B:B,0))),"")</f>
        <v/>
      </c>
      <c r="AJ247" s="15" t="str">
        <f>_xlfn.IFNA(IF(INDEX(製品仕様マスタ!AK:AK,MATCH(W2Pデータ貼り付け!T247,製品仕様マスタ!B:B,0))=0,"",INDEX(製品仕様マスタ!AK:AK,MATCH(W2Pデータ貼り付け!T247,製品仕様マスタ!B:B,0))),"")</f>
        <v/>
      </c>
      <c r="AK247" s="198" t="str">
        <f>_xlfn.IFNA(IF(INDEX(製品仕様マスタ!AY:AY,MATCH(W2Pデータ貼り付け!T247,製品仕様マスタ!B:B,0))=0,"",IF(INDEX(製品仕様マスタ!AY:AY,MATCH(W2Pデータ貼り付け!T247,製品仕様マスタ!B:B,0)) &lt;&gt; "-",INDEX(製品仕様マスタ!AY:AY,MATCH(W2Pデータ貼り付け!T247,製品仕様マスタ!B:B,0)),INDEX(製品仕様マスタ!AZ$1:BZ$500,MATCH(W2Pデータ貼り付け!T247,製品仕様マスタ!B:B,0),MATCH(W2Pデータ貼り付け!V247,製品仕様マスタ!AZ$1:BZ$1,0)))),"")</f>
        <v/>
      </c>
      <c r="AL247" s="15" t="str">
        <f t="shared" si="3"/>
        <v/>
      </c>
      <c r="AM247" s="15" t="str">
        <f>IF(AF247&lt;&gt;"",IF(ISNUMBER(T247),COUNT(AM$2:AM246)+1,""),"")</f>
        <v/>
      </c>
    </row>
    <row r="248" spans="35:39" x14ac:dyDescent="0.15">
      <c r="AI248" s="15" t="str">
        <f>_xlfn.IFNA(IF(INDEX(製品仕様マスタ!C:C,MATCH(W2Pデータ貼り付け!T248,製品仕様マスタ!B:B,0))=0,"",INDEX(製品仕様マスタ!C:C,MATCH(W2Pデータ貼り付け!T248,製品仕様マスタ!B:B,0))),"")</f>
        <v/>
      </c>
      <c r="AJ248" s="15" t="str">
        <f>_xlfn.IFNA(IF(INDEX(製品仕様マスタ!AK:AK,MATCH(W2Pデータ貼り付け!T248,製品仕様マスタ!B:B,0))=0,"",INDEX(製品仕様マスタ!AK:AK,MATCH(W2Pデータ貼り付け!T248,製品仕様マスタ!B:B,0))),"")</f>
        <v/>
      </c>
      <c r="AK248" s="198" t="str">
        <f>_xlfn.IFNA(IF(INDEX(製品仕様マスタ!AY:AY,MATCH(W2Pデータ貼り付け!T248,製品仕様マスタ!B:B,0))=0,"",IF(INDEX(製品仕様マスタ!AY:AY,MATCH(W2Pデータ貼り付け!T248,製品仕様マスタ!B:B,0)) &lt;&gt; "-",INDEX(製品仕様マスタ!AY:AY,MATCH(W2Pデータ貼り付け!T248,製品仕様マスタ!B:B,0)),INDEX(製品仕様マスタ!AZ$1:BZ$500,MATCH(W2Pデータ貼り付け!T248,製品仕様マスタ!B:B,0),MATCH(W2Pデータ貼り付け!V248,製品仕様マスタ!AZ$1:BZ$1,0)))),"")</f>
        <v/>
      </c>
      <c r="AL248" s="15" t="str">
        <f t="shared" si="3"/>
        <v/>
      </c>
      <c r="AM248" s="15" t="str">
        <f>IF(AF248&lt;&gt;"",IF(ISNUMBER(T248),COUNT(AM$2:AM247)+1,""),"")</f>
        <v/>
      </c>
    </row>
    <row r="249" spans="35:39" x14ac:dyDescent="0.15">
      <c r="AI249" s="15" t="str">
        <f>_xlfn.IFNA(IF(INDEX(製品仕様マスタ!C:C,MATCH(W2Pデータ貼り付け!T249,製品仕様マスタ!B:B,0))=0,"",INDEX(製品仕様マスタ!C:C,MATCH(W2Pデータ貼り付け!T249,製品仕様マスタ!B:B,0))),"")</f>
        <v/>
      </c>
      <c r="AJ249" s="15" t="str">
        <f>_xlfn.IFNA(IF(INDEX(製品仕様マスタ!AK:AK,MATCH(W2Pデータ貼り付け!T249,製品仕様マスタ!B:B,0))=0,"",INDEX(製品仕様マスタ!AK:AK,MATCH(W2Pデータ貼り付け!T249,製品仕様マスタ!B:B,0))),"")</f>
        <v/>
      </c>
      <c r="AK249" s="198" t="str">
        <f>_xlfn.IFNA(IF(INDEX(製品仕様マスタ!AY:AY,MATCH(W2Pデータ貼り付け!T249,製品仕様マスタ!B:B,0))=0,"",IF(INDEX(製品仕様マスタ!AY:AY,MATCH(W2Pデータ貼り付け!T249,製品仕様マスタ!B:B,0)) &lt;&gt; "-",INDEX(製品仕様マスタ!AY:AY,MATCH(W2Pデータ貼り付け!T249,製品仕様マスタ!B:B,0)),INDEX(製品仕様マスタ!AZ$1:BZ$500,MATCH(W2Pデータ貼り付け!T249,製品仕様マスタ!B:B,0),MATCH(W2Pデータ貼り付け!V249,製品仕様マスタ!AZ$1:BZ$1,0)))),"")</f>
        <v/>
      </c>
      <c r="AL249" s="15" t="str">
        <f t="shared" si="3"/>
        <v/>
      </c>
      <c r="AM249" s="15" t="str">
        <f>IF(AF249&lt;&gt;"",IF(ISNUMBER(T249),COUNT(AM$2:AM248)+1,""),"")</f>
        <v/>
      </c>
    </row>
    <row r="250" spans="35:39" x14ac:dyDescent="0.15">
      <c r="AI250" s="15" t="str">
        <f>_xlfn.IFNA(IF(INDEX(製品仕様マスタ!C:C,MATCH(W2Pデータ貼り付け!T250,製品仕様マスタ!B:B,0))=0,"",INDEX(製品仕様マスタ!C:C,MATCH(W2Pデータ貼り付け!T250,製品仕様マスタ!B:B,0))),"")</f>
        <v/>
      </c>
      <c r="AJ250" s="15" t="str">
        <f>_xlfn.IFNA(IF(INDEX(製品仕様マスタ!AK:AK,MATCH(W2Pデータ貼り付け!T250,製品仕様マスタ!B:B,0))=0,"",INDEX(製品仕様マスタ!AK:AK,MATCH(W2Pデータ貼り付け!T250,製品仕様マスタ!B:B,0))),"")</f>
        <v/>
      </c>
      <c r="AK250" s="198" t="str">
        <f>_xlfn.IFNA(IF(INDEX(製品仕様マスタ!AY:AY,MATCH(W2Pデータ貼り付け!T250,製品仕様マスタ!B:B,0))=0,"",IF(INDEX(製品仕様マスタ!AY:AY,MATCH(W2Pデータ貼り付け!T250,製品仕様マスタ!B:B,0)) &lt;&gt; "-",INDEX(製品仕様マスタ!AY:AY,MATCH(W2Pデータ貼り付け!T250,製品仕様マスタ!B:B,0)),INDEX(製品仕様マスタ!AZ$1:BZ$500,MATCH(W2Pデータ貼り付け!T250,製品仕様マスタ!B:B,0),MATCH(W2Pデータ貼り付け!V250,製品仕様マスタ!AZ$1:BZ$1,0)))),"")</f>
        <v/>
      </c>
      <c r="AL250" s="15" t="str">
        <f t="shared" si="3"/>
        <v/>
      </c>
      <c r="AM250" s="15" t="str">
        <f>IF(AF250&lt;&gt;"",IF(ISNUMBER(T250),COUNT(AM$2:AM249)+1,""),"")</f>
        <v/>
      </c>
    </row>
    <row r="251" spans="35:39" x14ac:dyDescent="0.15">
      <c r="AI251" s="15" t="str">
        <f>_xlfn.IFNA(IF(INDEX(製品仕様マスタ!C:C,MATCH(W2Pデータ貼り付け!T251,製品仕様マスタ!B:B,0))=0,"",INDEX(製品仕様マスタ!C:C,MATCH(W2Pデータ貼り付け!T251,製品仕様マスタ!B:B,0))),"")</f>
        <v/>
      </c>
      <c r="AJ251" s="15" t="str">
        <f>_xlfn.IFNA(IF(INDEX(製品仕様マスタ!AK:AK,MATCH(W2Pデータ貼り付け!T251,製品仕様マスタ!B:B,0))=0,"",INDEX(製品仕様マスタ!AK:AK,MATCH(W2Pデータ貼り付け!T251,製品仕様マスタ!B:B,0))),"")</f>
        <v/>
      </c>
      <c r="AK251" s="198" t="str">
        <f>_xlfn.IFNA(IF(INDEX(製品仕様マスタ!AY:AY,MATCH(W2Pデータ貼り付け!T251,製品仕様マスタ!B:B,0))=0,"",IF(INDEX(製品仕様マスタ!AY:AY,MATCH(W2Pデータ貼り付け!T251,製品仕様マスタ!B:B,0)) &lt;&gt; "-",INDEX(製品仕様マスタ!AY:AY,MATCH(W2Pデータ貼り付け!T251,製品仕様マスタ!B:B,0)),INDEX(製品仕様マスタ!AZ$1:BZ$500,MATCH(W2Pデータ貼り付け!T251,製品仕様マスタ!B:B,0),MATCH(W2Pデータ貼り付け!V251,製品仕様マスタ!AZ$1:BZ$1,0)))),"")</f>
        <v/>
      </c>
      <c r="AL251" s="15" t="str">
        <f t="shared" si="3"/>
        <v/>
      </c>
      <c r="AM251" s="15" t="str">
        <f>IF(AF251&lt;&gt;"",IF(ISNUMBER(T251),COUNT(AM$2:AM250)+1,""),"")</f>
        <v/>
      </c>
    </row>
    <row r="252" spans="35:39" x14ac:dyDescent="0.15">
      <c r="AI252" s="15" t="str">
        <f>_xlfn.IFNA(IF(INDEX(製品仕様マスタ!C:C,MATCH(W2Pデータ貼り付け!T252,製品仕様マスタ!B:B,0))=0,"",INDEX(製品仕様マスタ!C:C,MATCH(W2Pデータ貼り付け!T252,製品仕様マスタ!B:B,0))),"")</f>
        <v/>
      </c>
      <c r="AJ252" s="15" t="str">
        <f>_xlfn.IFNA(IF(INDEX(製品仕様マスタ!AK:AK,MATCH(W2Pデータ貼り付け!T252,製品仕様マスタ!B:B,0))=0,"",INDEX(製品仕様マスタ!AK:AK,MATCH(W2Pデータ貼り付け!T252,製品仕様マスタ!B:B,0))),"")</f>
        <v/>
      </c>
      <c r="AK252" s="198" t="str">
        <f>_xlfn.IFNA(IF(INDEX(製品仕様マスタ!AY:AY,MATCH(W2Pデータ貼り付け!T252,製品仕様マスタ!B:B,0))=0,"",IF(INDEX(製品仕様マスタ!AY:AY,MATCH(W2Pデータ貼り付け!T252,製品仕様マスタ!B:B,0)) &lt;&gt; "-",INDEX(製品仕様マスタ!AY:AY,MATCH(W2Pデータ貼り付け!T252,製品仕様マスタ!B:B,0)),INDEX(製品仕様マスタ!AZ$1:BZ$500,MATCH(W2Pデータ貼り付け!T252,製品仕様マスタ!B:B,0),MATCH(W2Pデータ貼り付け!V252,製品仕様マスタ!AZ$1:BZ$1,0)))),"")</f>
        <v/>
      </c>
      <c r="AL252" s="15" t="str">
        <f t="shared" si="3"/>
        <v/>
      </c>
      <c r="AM252" s="15" t="str">
        <f>IF(AF252&lt;&gt;"",IF(ISNUMBER(T252),COUNT(AM$2:AM251)+1,""),"")</f>
        <v/>
      </c>
    </row>
    <row r="253" spans="35:39" x14ac:dyDescent="0.15">
      <c r="AI253" s="15" t="str">
        <f>_xlfn.IFNA(IF(INDEX(製品仕様マスタ!C:C,MATCH(W2Pデータ貼り付け!T253,製品仕様マスタ!B:B,0))=0,"",INDEX(製品仕様マスタ!C:C,MATCH(W2Pデータ貼り付け!T253,製品仕様マスタ!B:B,0))),"")</f>
        <v/>
      </c>
      <c r="AJ253" s="15" t="str">
        <f>_xlfn.IFNA(IF(INDEX(製品仕様マスタ!AK:AK,MATCH(W2Pデータ貼り付け!T253,製品仕様マスタ!B:B,0))=0,"",INDEX(製品仕様マスタ!AK:AK,MATCH(W2Pデータ貼り付け!T253,製品仕様マスタ!B:B,0))),"")</f>
        <v/>
      </c>
      <c r="AK253" s="198" t="str">
        <f>_xlfn.IFNA(IF(INDEX(製品仕様マスタ!AY:AY,MATCH(W2Pデータ貼り付け!T253,製品仕様マスタ!B:B,0))=0,"",IF(INDEX(製品仕様マスタ!AY:AY,MATCH(W2Pデータ貼り付け!T253,製品仕様マスタ!B:B,0)) &lt;&gt; "-",INDEX(製品仕様マスタ!AY:AY,MATCH(W2Pデータ貼り付け!T253,製品仕様マスタ!B:B,0)),INDEX(製品仕様マスタ!AZ$1:BZ$500,MATCH(W2Pデータ貼り付け!T253,製品仕様マスタ!B:B,0),MATCH(W2Pデータ貼り付け!V253,製品仕様マスタ!AZ$1:BZ$1,0)))),"")</f>
        <v/>
      </c>
      <c r="AL253" s="15" t="str">
        <f t="shared" si="3"/>
        <v/>
      </c>
      <c r="AM253" s="15" t="str">
        <f>IF(AF253&lt;&gt;"",IF(ISNUMBER(T253),COUNT(AM$2:AM252)+1,""),"")</f>
        <v/>
      </c>
    </row>
    <row r="254" spans="35:39" x14ac:dyDescent="0.15">
      <c r="AI254" s="15" t="str">
        <f>_xlfn.IFNA(IF(INDEX(製品仕様マスタ!C:C,MATCH(W2Pデータ貼り付け!T254,製品仕様マスタ!B:B,0))=0,"",INDEX(製品仕様マスタ!C:C,MATCH(W2Pデータ貼り付け!T254,製品仕様マスタ!B:B,0))),"")</f>
        <v/>
      </c>
      <c r="AJ254" s="15" t="str">
        <f>_xlfn.IFNA(IF(INDEX(製品仕様マスタ!AK:AK,MATCH(W2Pデータ貼り付け!T254,製品仕様マスタ!B:B,0))=0,"",INDEX(製品仕様マスタ!AK:AK,MATCH(W2Pデータ貼り付け!T254,製品仕様マスタ!B:B,0))),"")</f>
        <v/>
      </c>
      <c r="AK254" s="198" t="str">
        <f>_xlfn.IFNA(IF(INDEX(製品仕様マスタ!AY:AY,MATCH(W2Pデータ貼り付け!T254,製品仕様マスタ!B:B,0))=0,"",IF(INDEX(製品仕様マスタ!AY:AY,MATCH(W2Pデータ貼り付け!T254,製品仕様マスタ!B:B,0)) &lt;&gt; "-",INDEX(製品仕様マスタ!AY:AY,MATCH(W2Pデータ貼り付け!T254,製品仕様マスタ!B:B,0)),INDEX(製品仕様マスタ!AZ$1:BZ$500,MATCH(W2Pデータ貼り付け!T254,製品仕様マスタ!B:B,0),MATCH(W2Pデータ貼り付け!V254,製品仕様マスタ!AZ$1:BZ$1,0)))),"")</f>
        <v/>
      </c>
      <c r="AL254" s="15" t="str">
        <f t="shared" si="3"/>
        <v/>
      </c>
      <c r="AM254" s="15" t="str">
        <f>IF(AF254&lt;&gt;"",IF(ISNUMBER(T254),COUNT(AM$2:AM253)+1,""),"")</f>
        <v/>
      </c>
    </row>
    <row r="255" spans="35:39" x14ac:dyDescent="0.15">
      <c r="AI255" s="15" t="str">
        <f>_xlfn.IFNA(IF(INDEX(製品仕様マスタ!C:C,MATCH(W2Pデータ貼り付け!T255,製品仕様マスタ!B:B,0))=0,"",INDEX(製品仕様マスタ!C:C,MATCH(W2Pデータ貼り付け!T255,製品仕様マスタ!B:B,0))),"")</f>
        <v/>
      </c>
      <c r="AJ255" s="15" t="str">
        <f>_xlfn.IFNA(IF(INDEX(製品仕様マスタ!AK:AK,MATCH(W2Pデータ貼り付け!T255,製品仕様マスタ!B:B,0))=0,"",INDEX(製品仕様マスタ!AK:AK,MATCH(W2Pデータ貼り付け!T255,製品仕様マスタ!B:B,0))),"")</f>
        <v/>
      </c>
      <c r="AK255" s="198" t="str">
        <f>_xlfn.IFNA(IF(INDEX(製品仕様マスタ!AY:AY,MATCH(W2Pデータ貼り付け!T255,製品仕様マスタ!B:B,0))=0,"",IF(INDEX(製品仕様マスタ!AY:AY,MATCH(W2Pデータ貼り付け!T255,製品仕様マスタ!B:B,0)) &lt;&gt; "-",INDEX(製品仕様マスタ!AY:AY,MATCH(W2Pデータ貼り付け!T255,製品仕様マスタ!B:B,0)),INDEX(製品仕様マスタ!AZ$1:BZ$500,MATCH(W2Pデータ貼り付け!T255,製品仕様マスタ!B:B,0),MATCH(W2Pデータ貼り付け!V255,製品仕様マスタ!AZ$1:BZ$1,0)))),"")</f>
        <v/>
      </c>
      <c r="AL255" s="15" t="str">
        <f t="shared" si="3"/>
        <v/>
      </c>
      <c r="AM255" s="15" t="str">
        <f>IF(AF255&lt;&gt;"",IF(ISNUMBER(T255),COUNT(AM$2:AM254)+1,""),"")</f>
        <v/>
      </c>
    </row>
    <row r="256" spans="35:39" x14ac:dyDescent="0.15">
      <c r="AI256" s="15" t="str">
        <f>_xlfn.IFNA(IF(INDEX(製品仕様マスタ!C:C,MATCH(W2Pデータ貼り付け!T256,製品仕様マスタ!B:B,0))=0,"",INDEX(製品仕様マスタ!C:C,MATCH(W2Pデータ貼り付け!T256,製品仕様マスタ!B:B,0))),"")</f>
        <v/>
      </c>
      <c r="AJ256" s="15" t="str">
        <f>_xlfn.IFNA(IF(INDEX(製品仕様マスタ!AK:AK,MATCH(W2Pデータ貼り付け!T256,製品仕様マスタ!B:B,0))=0,"",INDEX(製品仕様マスタ!AK:AK,MATCH(W2Pデータ貼り付け!T256,製品仕様マスタ!B:B,0))),"")</f>
        <v/>
      </c>
      <c r="AK256" s="198" t="str">
        <f>_xlfn.IFNA(IF(INDEX(製品仕様マスタ!AY:AY,MATCH(W2Pデータ貼り付け!T256,製品仕様マスタ!B:B,0))=0,"",IF(INDEX(製品仕様マスタ!AY:AY,MATCH(W2Pデータ貼り付け!T256,製品仕様マスタ!B:B,0)) &lt;&gt; "-",INDEX(製品仕様マスタ!AY:AY,MATCH(W2Pデータ貼り付け!T256,製品仕様マスタ!B:B,0)),INDEX(製品仕様マスタ!AZ$1:BZ$500,MATCH(W2Pデータ貼り付け!T256,製品仕様マスタ!B:B,0),MATCH(W2Pデータ貼り付け!V256,製品仕様マスタ!AZ$1:BZ$1,0)))),"")</f>
        <v/>
      </c>
      <c r="AL256" s="15" t="str">
        <f t="shared" si="3"/>
        <v/>
      </c>
      <c r="AM256" s="15" t="str">
        <f>IF(AF256&lt;&gt;"",IF(ISNUMBER(T256),COUNT(AM$2:AM255)+1,""),"")</f>
        <v/>
      </c>
    </row>
    <row r="257" spans="35:39" x14ac:dyDescent="0.15">
      <c r="AI257" s="15" t="str">
        <f>_xlfn.IFNA(IF(INDEX(製品仕様マスタ!C:C,MATCH(W2Pデータ貼り付け!T257,製品仕様マスタ!B:B,0))=0,"",INDEX(製品仕様マスタ!C:C,MATCH(W2Pデータ貼り付け!T257,製品仕様マスタ!B:B,0))),"")</f>
        <v/>
      </c>
      <c r="AJ257" s="15" t="str">
        <f>_xlfn.IFNA(IF(INDEX(製品仕様マスタ!AK:AK,MATCH(W2Pデータ貼り付け!T257,製品仕様マスタ!B:B,0))=0,"",INDEX(製品仕様マスタ!AK:AK,MATCH(W2Pデータ貼り付け!T257,製品仕様マスタ!B:B,0))),"")</f>
        <v/>
      </c>
      <c r="AK257" s="198" t="str">
        <f>_xlfn.IFNA(IF(INDEX(製品仕様マスタ!AY:AY,MATCH(W2Pデータ貼り付け!T257,製品仕様マスタ!B:B,0))=0,"",IF(INDEX(製品仕様マスタ!AY:AY,MATCH(W2Pデータ貼り付け!T257,製品仕様マスタ!B:B,0)) &lt;&gt; "-",INDEX(製品仕様マスタ!AY:AY,MATCH(W2Pデータ貼り付け!T257,製品仕様マスタ!B:B,0)),INDEX(製品仕様マスタ!AZ$1:BZ$500,MATCH(W2Pデータ貼り付け!T257,製品仕様マスタ!B:B,0),MATCH(W2Pデータ貼り付け!V257,製品仕様マスタ!AZ$1:BZ$1,0)))),"")</f>
        <v/>
      </c>
      <c r="AL257" s="15" t="str">
        <f t="shared" si="3"/>
        <v/>
      </c>
      <c r="AM257" s="15" t="str">
        <f>IF(AF257&lt;&gt;"",IF(ISNUMBER(T257),COUNT(AM$2:AM256)+1,""),"")</f>
        <v/>
      </c>
    </row>
    <row r="258" spans="35:39" x14ac:dyDescent="0.15">
      <c r="AI258" s="15" t="str">
        <f>_xlfn.IFNA(IF(INDEX(製品仕様マスタ!C:C,MATCH(W2Pデータ貼り付け!T258,製品仕様マスタ!B:B,0))=0,"",INDEX(製品仕様マスタ!C:C,MATCH(W2Pデータ貼り付け!T258,製品仕様マスタ!B:B,0))),"")</f>
        <v/>
      </c>
      <c r="AJ258" s="15" t="str">
        <f>_xlfn.IFNA(IF(INDEX(製品仕様マスタ!AK:AK,MATCH(W2Pデータ貼り付け!T258,製品仕様マスタ!B:B,0))=0,"",INDEX(製品仕様マスタ!AK:AK,MATCH(W2Pデータ貼り付け!T258,製品仕様マスタ!B:B,0))),"")</f>
        <v/>
      </c>
      <c r="AK258" s="198" t="str">
        <f>_xlfn.IFNA(IF(INDEX(製品仕様マスタ!AY:AY,MATCH(W2Pデータ貼り付け!T258,製品仕様マスタ!B:B,0))=0,"",IF(INDEX(製品仕様マスタ!AY:AY,MATCH(W2Pデータ貼り付け!T258,製品仕様マスタ!B:B,0)) &lt;&gt; "-",INDEX(製品仕様マスタ!AY:AY,MATCH(W2Pデータ貼り付け!T258,製品仕様マスタ!B:B,0)),INDEX(製品仕様マスタ!AZ$1:BZ$500,MATCH(W2Pデータ貼り付け!T258,製品仕様マスタ!B:B,0),MATCH(W2Pデータ貼り付け!V258,製品仕様マスタ!AZ$1:BZ$1,0)))),"")</f>
        <v/>
      </c>
      <c r="AL258" s="15" t="str">
        <f t="shared" ref="AL258:AL321" si="4">IFERROR(V258*AK258,"")</f>
        <v/>
      </c>
      <c r="AM258" s="15" t="str">
        <f>IF(AF258&lt;&gt;"",IF(ISNUMBER(T258),COUNT(AM$2:AM257)+1,""),"")</f>
        <v/>
      </c>
    </row>
    <row r="259" spans="35:39" x14ac:dyDescent="0.15">
      <c r="AI259" s="15" t="str">
        <f>_xlfn.IFNA(IF(INDEX(製品仕様マスタ!C:C,MATCH(W2Pデータ貼り付け!T259,製品仕様マスタ!B:B,0))=0,"",INDEX(製品仕様マスタ!C:C,MATCH(W2Pデータ貼り付け!T259,製品仕様マスタ!B:B,0))),"")</f>
        <v/>
      </c>
      <c r="AJ259" s="15" t="str">
        <f>_xlfn.IFNA(IF(INDEX(製品仕様マスタ!AK:AK,MATCH(W2Pデータ貼り付け!T259,製品仕様マスタ!B:B,0))=0,"",INDEX(製品仕様マスタ!AK:AK,MATCH(W2Pデータ貼り付け!T259,製品仕様マスタ!B:B,0))),"")</f>
        <v/>
      </c>
      <c r="AK259" s="198" t="str">
        <f>_xlfn.IFNA(IF(INDEX(製品仕様マスタ!AY:AY,MATCH(W2Pデータ貼り付け!T259,製品仕様マスタ!B:B,0))=0,"",IF(INDEX(製品仕様マスタ!AY:AY,MATCH(W2Pデータ貼り付け!T259,製品仕様マスタ!B:B,0)) &lt;&gt; "-",INDEX(製品仕様マスタ!AY:AY,MATCH(W2Pデータ貼り付け!T259,製品仕様マスタ!B:B,0)),INDEX(製品仕様マスタ!AZ$1:BZ$500,MATCH(W2Pデータ貼り付け!T259,製品仕様マスタ!B:B,0),MATCH(W2Pデータ貼り付け!V259,製品仕様マスタ!AZ$1:BZ$1,0)))),"")</f>
        <v/>
      </c>
      <c r="AL259" s="15" t="str">
        <f t="shared" si="4"/>
        <v/>
      </c>
      <c r="AM259" s="15" t="str">
        <f>IF(AF259&lt;&gt;"",IF(ISNUMBER(T259),COUNT(AM$2:AM258)+1,""),"")</f>
        <v/>
      </c>
    </row>
    <row r="260" spans="35:39" x14ac:dyDescent="0.15">
      <c r="AI260" s="15" t="str">
        <f>_xlfn.IFNA(IF(INDEX(製品仕様マスタ!C:C,MATCH(W2Pデータ貼り付け!T260,製品仕様マスタ!B:B,0))=0,"",INDEX(製品仕様マスタ!C:C,MATCH(W2Pデータ貼り付け!T260,製品仕様マスタ!B:B,0))),"")</f>
        <v/>
      </c>
      <c r="AJ260" s="15" t="str">
        <f>_xlfn.IFNA(IF(INDEX(製品仕様マスタ!AK:AK,MATCH(W2Pデータ貼り付け!T260,製品仕様マスタ!B:B,0))=0,"",INDEX(製品仕様マスタ!AK:AK,MATCH(W2Pデータ貼り付け!T260,製品仕様マスタ!B:B,0))),"")</f>
        <v/>
      </c>
      <c r="AK260" s="198" t="str">
        <f>_xlfn.IFNA(IF(INDEX(製品仕様マスタ!AY:AY,MATCH(W2Pデータ貼り付け!T260,製品仕様マスタ!B:B,0))=0,"",IF(INDEX(製品仕様マスタ!AY:AY,MATCH(W2Pデータ貼り付け!T260,製品仕様マスタ!B:B,0)) &lt;&gt; "-",INDEX(製品仕様マスタ!AY:AY,MATCH(W2Pデータ貼り付け!T260,製品仕様マスタ!B:B,0)),INDEX(製品仕様マスタ!AZ$1:BZ$500,MATCH(W2Pデータ貼り付け!T260,製品仕様マスタ!B:B,0),MATCH(W2Pデータ貼り付け!V260,製品仕様マスタ!AZ$1:BZ$1,0)))),"")</f>
        <v/>
      </c>
      <c r="AL260" s="15" t="str">
        <f t="shared" si="4"/>
        <v/>
      </c>
      <c r="AM260" s="15" t="str">
        <f>IF(AF260&lt;&gt;"",IF(ISNUMBER(T260),COUNT(AM$2:AM259)+1,""),"")</f>
        <v/>
      </c>
    </row>
    <row r="261" spans="35:39" x14ac:dyDescent="0.15">
      <c r="AI261" s="15" t="str">
        <f>_xlfn.IFNA(IF(INDEX(製品仕様マスタ!C:C,MATCH(W2Pデータ貼り付け!T261,製品仕様マスタ!B:B,0))=0,"",INDEX(製品仕様マスタ!C:C,MATCH(W2Pデータ貼り付け!T261,製品仕様マスタ!B:B,0))),"")</f>
        <v/>
      </c>
      <c r="AJ261" s="15" t="str">
        <f>_xlfn.IFNA(IF(INDEX(製品仕様マスタ!AK:AK,MATCH(W2Pデータ貼り付け!T261,製品仕様マスタ!B:B,0))=0,"",INDEX(製品仕様マスタ!AK:AK,MATCH(W2Pデータ貼り付け!T261,製品仕様マスタ!B:B,0))),"")</f>
        <v/>
      </c>
      <c r="AK261" s="198" t="str">
        <f>_xlfn.IFNA(IF(INDEX(製品仕様マスタ!AY:AY,MATCH(W2Pデータ貼り付け!T261,製品仕様マスタ!B:B,0))=0,"",IF(INDEX(製品仕様マスタ!AY:AY,MATCH(W2Pデータ貼り付け!T261,製品仕様マスタ!B:B,0)) &lt;&gt; "-",INDEX(製品仕様マスタ!AY:AY,MATCH(W2Pデータ貼り付け!T261,製品仕様マスタ!B:B,0)),INDEX(製品仕様マスタ!AZ$1:BZ$500,MATCH(W2Pデータ貼り付け!T261,製品仕様マスタ!B:B,0),MATCH(W2Pデータ貼り付け!V261,製品仕様マスタ!AZ$1:BZ$1,0)))),"")</f>
        <v/>
      </c>
      <c r="AL261" s="15" t="str">
        <f t="shared" si="4"/>
        <v/>
      </c>
      <c r="AM261" s="15" t="str">
        <f>IF(AF261&lt;&gt;"",IF(ISNUMBER(T261),COUNT(AM$2:AM260)+1,""),"")</f>
        <v/>
      </c>
    </row>
    <row r="262" spans="35:39" x14ac:dyDescent="0.15">
      <c r="AI262" s="15" t="str">
        <f>_xlfn.IFNA(IF(INDEX(製品仕様マスタ!C:C,MATCH(W2Pデータ貼り付け!T262,製品仕様マスタ!B:B,0))=0,"",INDEX(製品仕様マスタ!C:C,MATCH(W2Pデータ貼り付け!T262,製品仕様マスタ!B:B,0))),"")</f>
        <v/>
      </c>
      <c r="AJ262" s="15" t="str">
        <f>_xlfn.IFNA(IF(INDEX(製品仕様マスタ!AK:AK,MATCH(W2Pデータ貼り付け!T262,製品仕様マスタ!B:B,0))=0,"",INDEX(製品仕様マスタ!AK:AK,MATCH(W2Pデータ貼り付け!T262,製品仕様マスタ!B:B,0))),"")</f>
        <v/>
      </c>
      <c r="AK262" s="198" t="str">
        <f>_xlfn.IFNA(IF(INDEX(製品仕様マスタ!AY:AY,MATCH(W2Pデータ貼り付け!T262,製品仕様マスタ!B:B,0))=0,"",IF(INDEX(製品仕様マスタ!AY:AY,MATCH(W2Pデータ貼り付け!T262,製品仕様マスタ!B:B,0)) &lt;&gt; "-",INDEX(製品仕様マスタ!AY:AY,MATCH(W2Pデータ貼り付け!T262,製品仕様マスタ!B:B,0)),INDEX(製品仕様マスタ!AZ$1:BZ$500,MATCH(W2Pデータ貼り付け!T262,製品仕様マスタ!B:B,0),MATCH(W2Pデータ貼り付け!V262,製品仕様マスタ!AZ$1:BZ$1,0)))),"")</f>
        <v/>
      </c>
      <c r="AL262" s="15" t="str">
        <f t="shared" si="4"/>
        <v/>
      </c>
      <c r="AM262" s="15" t="str">
        <f>IF(AF262&lt;&gt;"",IF(ISNUMBER(T262),COUNT(AM$2:AM261)+1,""),"")</f>
        <v/>
      </c>
    </row>
    <row r="263" spans="35:39" x14ac:dyDescent="0.15">
      <c r="AI263" s="15" t="str">
        <f>_xlfn.IFNA(IF(INDEX(製品仕様マスタ!C:C,MATCH(W2Pデータ貼り付け!T263,製品仕様マスタ!B:B,0))=0,"",INDEX(製品仕様マスタ!C:C,MATCH(W2Pデータ貼り付け!T263,製品仕様マスタ!B:B,0))),"")</f>
        <v/>
      </c>
      <c r="AJ263" s="15" t="str">
        <f>_xlfn.IFNA(IF(INDEX(製品仕様マスタ!AK:AK,MATCH(W2Pデータ貼り付け!T263,製品仕様マスタ!B:B,0))=0,"",INDEX(製品仕様マスタ!AK:AK,MATCH(W2Pデータ貼り付け!T263,製品仕様マスタ!B:B,0))),"")</f>
        <v/>
      </c>
      <c r="AK263" s="198" t="str">
        <f>_xlfn.IFNA(IF(INDEX(製品仕様マスタ!AY:AY,MATCH(W2Pデータ貼り付け!T263,製品仕様マスタ!B:B,0))=0,"",IF(INDEX(製品仕様マスタ!AY:AY,MATCH(W2Pデータ貼り付け!T263,製品仕様マスタ!B:B,0)) &lt;&gt; "-",INDEX(製品仕様マスタ!AY:AY,MATCH(W2Pデータ貼り付け!T263,製品仕様マスタ!B:B,0)),INDEX(製品仕様マスタ!AZ$1:BZ$500,MATCH(W2Pデータ貼り付け!T263,製品仕様マスタ!B:B,0),MATCH(W2Pデータ貼り付け!V263,製品仕様マスタ!AZ$1:BZ$1,0)))),"")</f>
        <v/>
      </c>
      <c r="AL263" s="15" t="str">
        <f t="shared" si="4"/>
        <v/>
      </c>
      <c r="AM263" s="15" t="str">
        <f>IF(AF263&lt;&gt;"",IF(ISNUMBER(T263),COUNT(AM$2:AM262)+1,""),"")</f>
        <v/>
      </c>
    </row>
    <row r="264" spans="35:39" x14ac:dyDescent="0.15">
      <c r="AI264" s="15" t="str">
        <f>_xlfn.IFNA(IF(INDEX(製品仕様マスタ!C:C,MATCH(W2Pデータ貼り付け!T264,製品仕様マスタ!B:B,0))=0,"",INDEX(製品仕様マスタ!C:C,MATCH(W2Pデータ貼り付け!T264,製品仕様マスタ!B:B,0))),"")</f>
        <v/>
      </c>
      <c r="AJ264" s="15" t="str">
        <f>_xlfn.IFNA(IF(INDEX(製品仕様マスタ!AK:AK,MATCH(W2Pデータ貼り付け!T264,製品仕様マスタ!B:B,0))=0,"",INDEX(製品仕様マスタ!AK:AK,MATCH(W2Pデータ貼り付け!T264,製品仕様マスタ!B:B,0))),"")</f>
        <v/>
      </c>
      <c r="AK264" s="198" t="str">
        <f>_xlfn.IFNA(IF(INDEX(製品仕様マスタ!AY:AY,MATCH(W2Pデータ貼り付け!T264,製品仕様マスタ!B:B,0))=0,"",IF(INDEX(製品仕様マスタ!AY:AY,MATCH(W2Pデータ貼り付け!T264,製品仕様マスタ!B:B,0)) &lt;&gt; "-",INDEX(製品仕様マスタ!AY:AY,MATCH(W2Pデータ貼り付け!T264,製品仕様マスタ!B:B,0)),INDEX(製品仕様マスタ!AZ$1:BZ$500,MATCH(W2Pデータ貼り付け!T264,製品仕様マスタ!B:B,0),MATCH(W2Pデータ貼り付け!V264,製品仕様マスタ!AZ$1:BZ$1,0)))),"")</f>
        <v/>
      </c>
      <c r="AL264" s="15" t="str">
        <f t="shared" si="4"/>
        <v/>
      </c>
      <c r="AM264" s="15" t="str">
        <f>IF(AF264&lt;&gt;"",IF(ISNUMBER(T264),COUNT(AM$2:AM263)+1,""),"")</f>
        <v/>
      </c>
    </row>
    <row r="265" spans="35:39" x14ac:dyDescent="0.15">
      <c r="AI265" s="15" t="str">
        <f>_xlfn.IFNA(IF(INDEX(製品仕様マスタ!C:C,MATCH(W2Pデータ貼り付け!T265,製品仕様マスタ!B:B,0))=0,"",INDEX(製品仕様マスタ!C:C,MATCH(W2Pデータ貼り付け!T265,製品仕様マスタ!B:B,0))),"")</f>
        <v/>
      </c>
      <c r="AJ265" s="15" t="str">
        <f>_xlfn.IFNA(IF(INDEX(製品仕様マスタ!AK:AK,MATCH(W2Pデータ貼り付け!T265,製品仕様マスタ!B:B,0))=0,"",INDEX(製品仕様マスタ!AK:AK,MATCH(W2Pデータ貼り付け!T265,製品仕様マスタ!B:B,0))),"")</f>
        <v/>
      </c>
      <c r="AK265" s="198" t="str">
        <f>_xlfn.IFNA(IF(INDEX(製品仕様マスタ!AY:AY,MATCH(W2Pデータ貼り付け!T265,製品仕様マスタ!B:B,0))=0,"",IF(INDEX(製品仕様マスタ!AY:AY,MATCH(W2Pデータ貼り付け!T265,製品仕様マスタ!B:B,0)) &lt;&gt; "-",INDEX(製品仕様マスタ!AY:AY,MATCH(W2Pデータ貼り付け!T265,製品仕様マスタ!B:B,0)),INDEX(製品仕様マスタ!AZ$1:BZ$500,MATCH(W2Pデータ貼り付け!T265,製品仕様マスタ!B:B,0),MATCH(W2Pデータ貼り付け!V265,製品仕様マスタ!AZ$1:BZ$1,0)))),"")</f>
        <v/>
      </c>
      <c r="AL265" s="15" t="str">
        <f t="shared" si="4"/>
        <v/>
      </c>
      <c r="AM265" s="15" t="str">
        <f>IF(AF265&lt;&gt;"",IF(ISNUMBER(T265),COUNT(AM$2:AM264)+1,""),"")</f>
        <v/>
      </c>
    </row>
    <row r="266" spans="35:39" x14ac:dyDescent="0.15">
      <c r="AI266" s="15" t="str">
        <f>_xlfn.IFNA(IF(INDEX(製品仕様マスタ!C:C,MATCH(W2Pデータ貼り付け!T266,製品仕様マスタ!B:B,0))=0,"",INDEX(製品仕様マスタ!C:C,MATCH(W2Pデータ貼り付け!T266,製品仕様マスタ!B:B,0))),"")</f>
        <v/>
      </c>
      <c r="AJ266" s="15" t="str">
        <f>_xlfn.IFNA(IF(INDEX(製品仕様マスタ!AK:AK,MATCH(W2Pデータ貼り付け!T266,製品仕様マスタ!B:B,0))=0,"",INDEX(製品仕様マスタ!AK:AK,MATCH(W2Pデータ貼り付け!T266,製品仕様マスタ!B:B,0))),"")</f>
        <v/>
      </c>
      <c r="AK266" s="198" t="str">
        <f>_xlfn.IFNA(IF(INDEX(製品仕様マスタ!AY:AY,MATCH(W2Pデータ貼り付け!T266,製品仕様マスタ!B:B,0))=0,"",IF(INDEX(製品仕様マスタ!AY:AY,MATCH(W2Pデータ貼り付け!T266,製品仕様マスタ!B:B,0)) &lt;&gt; "-",INDEX(製品仕様マスタ!AY:AY,MATCH(W2Pデータ貼り付け!T266,製品仕様マスタ!B:B,0)),INDEX(製品仕様マスタ!AZ$1:BZ$500,MATCH(W2Pデータ貼り付け!T266,製品仕様マスタ!B:B,0),MATCH(W2Pデータ貼り付け!V266,製品仕様マスタ!AZ$1:BZ$1,0)))),"")</f>
        <v/>
      </c>
      <c r="AL266" s="15" t="str">
        <f t="shared" si="4"/>
        <v/>
      </c>
      <c r="AM266" s="15" t="str">
        <f>IF(AF266&lt;&gt;"",IF(ISNUMBER(T266),COUNT(AM$2:AM265)+1,""),"")</f>
        <v/>
      </c>
    </row>
    <row r="267" spans="35:39" x14ac:dyDescent="0.15">
      <c r="AI267" s="15" t="str">
        <f>_xlfn.IFNA(IF(INDEX(製品仕様マスタ!C:C,MATCH(W2Pデータ貼り付け!T267,製品仕様マスタ!B:B,0))=0,"",INDEX(製品仕様マスタ!C:C,MATCH(W2Pデータ貼り付け!T267,製品仕様マスタ!B:B,0))),"")</f>
        <v/>
      </c>
      <c r="AJ267" s="15" t="str">
        <f>_xlfn.IFNA(IF(INDEX(製品仕様マスタ!AK:AK,MATCH(W2Pデータ貼り付け!T267,製品仕様マスタ!B:B,0))=0,"",INDEX(製品仕様マスタ!AK:AK,MATCH(W2Pデータ貼り付け!T267,製品仕様マスタ!B:B,0))),"")</f>
        <v/>
      </c>
      <c r="AK267" s="198" t="str">
        <f>_xlfn.IFNA(IF(INDEX(製品仕様マスタ!AY:AY,MATCH(W2Pデータ貼り付け!T267,製品仕様マスタ!B:B,0))=0,"",IF(INDEX(製品仕様マスタ!AY:AY,MATCH(W2Pデータ貼り付け!T267,製品仕様マスタ!B:B,0)) &lt;&gt; "-",INDEX(製品仕様マスタ!AY:AY,MATCH(W2Pデータ貼り付け!T267,製品仕様マスタ!B:B,0)),INDEX(製品仕様マスタ!AZ$1:BZ$500,MATCH(W2Pデータ貼り付け!T267,製品仕様マスタ!B:B,0),MATCH(W2Pデータ貼り付け!V267,製品仕様マスタ!AZ$1:BZ$1,0)))),"")</f>
        <v/>
      </c>
      <c r="AL267" s="15" t="str">
        <f t="shared" si="4"/>
        <v/>
      </c>
      <c r="AM267" s="15" t="str">
        <f>IF(AF267&lt;&gt;"",IF(ISNUMBER(T267),COUNT(AM$2:AM266)+1,""),"")</f>
        <v/>
      </c>
    </row>
    <row r="268" spans="35:39" x14ac:dyDescent="0.15">
      <c r="AI268" s="15" t="str">
        <f>_xlfn.IFNA(IF(INDEX(製品仕様マスタ!C:C,MATCH(W2Pデータ貼り付け!T268,製品仕様マスタ!B:B,0))=0,"",INDEX(製品仕様マスタ!C:C,MATCH(W2Pデータ貼り付け!T268,製品仕様マスタ!B:B,0))),"")</f>
        <v/>
      </c>
      <c r="AJ268" s="15" t="str">
        <f>_xlfn.IFNA(IF(INDEX(製品仕様マスタ!AK:AK,MATCH(W2Pデータ貼り付け!T268,製品仕様マスタ!B:B,0))=0,"",INDEX(製品仕様マスタ!AK:AK,MATCH(W2Pデータ貼り付け!T268,製品仕様マスタ!B:B,0))),"")</f>
        <v/>
      </c>
      <c r="AK268" s="198" t="str">
        <f>_xlfn.IFNA(IF(INDEX(製品仕様マスタ!AY:AY,MATCH(W2Pデータ貼り付け!T268,製品仕様マスタ!B:B,0))=0,"",IF(INDEX(製品仕様マスタ!AY:AY,MATCH(W2Pデータ貼り付け!T268,製品仕様マスタ!B:B,0)) &lt;&gt; "-",INDEX(製品仕様マスタ!AY:AY,MATCH(W2Pデータ貼り付け!T268,製品仕様マスタ!B:B,0)),INDEX(製品仕様マスタ!AZ$1:BZ$500,MATCH(W2Pデータ貼り付け!T268,製品仕様マスタ!B:B,0),MATCH(W2Pデータ貼り付け!V268,製品仕様マスタ!AZ$1:BZ$1,0)))),"")</f>
        <v/>
      </c>
      <c r="AL268" s="15" t="str">
        <f t="shared" si="4"/>
        <v/>
      </c>
      <c r="AM268" s="15" t="str">
        <f>IF(AF268&lt;&gt;"",IF(ISNUMBER(T268),COUNT(AM$2:AM267)+1,""),"")</f>
        <v/>
      </c>
    </row>
    <row r="269" spans="35:39" x14ac:dyDescent="0.15">
      <c r="AI269" s="15" t="str">
        <f>_xlfn.IFNA(IF(INDEX(製品仕様マスタ!C:C,MATCH(W2Pデータ貼り付け!T269,製品仕様マスタ!B:B,0))=0,"",INDEX(製品仕様マスタ!C:C,MATCH(W2Pデータ貼り付け!T269,製品仕様マスタ!B:B,0))),"")</f>
        <v/>
      </c>
      <c r="AJ269" s="15" t="str">
        <f>_xlfn.IFNA(IF(INDEX(製品仕様マスタ!AK:AK,MATCH(W2Pデータ貼り付け!T269,製品仕様マスタ!B:B,0))=0,"",INDEX(製品仕様マスタ!AK:AK,MATCH(W2Pデータ貼り付け!T269,製品仕様マスタ!B:B,0))),"")</f>
        <v/>
      </c>
      <c r="AK269" s="198" t="str">
        <f>_xlfn.IFNA(IF(INDEX(製品仕様マスタ!AY:AY,MATCH(W2Pデータ貼り付け!T269,製品仕様マスタ!B:B,0))=0,"",IF(INDEX(製品仕様マスタ!AY:AY,MATCH(W2Pデータ貼り付け!T269,製品仕様マスタ!B:B,0)) &lt;&gt; "-",INDEX(製品仕様マスタ!AY:AY,MATCH(W2Pデータ貼り付け!T269,製品仕様マスタ!B:B,0)),INDEX(製品仕様マスタ!AZ$1:BZ$500,MATCH(W2Pデータ貼り付け!T269,製品仕様マスタ!B:B,0),MATCH(W2Pデータ貼り付け!V269,製品仕様マスタ!AZ$1:BZ$1,0)))),"")</f>
        <v/>
      </c>
      <c r="AL269" s="15" t="str">
        <f t="shared" si="4"/>
        <v/>
      </c>
      <c r="AM269" s="15" t="str">
        <f>IF(AF269&lt;&gt;"",IF(ISNUMBER(T269),COUNT(AM$2:AM268)+1,""),"")</f>
        <v/>
      </c>
    </row>
    <row r="270" spans="35:39" x14ac:dyDescent="0.15">
      <c r="AI270" s="15" t="str">
        <f>_xlfn.IFNA(IF(INDEX(製品仕様マスタ!C:C,MATCH(W2Pデータ貼り付け!T270,製品仕様マスタ!B:B,0))=0,"",INDEX(製品仕様マスタ!C:C,MATCH(W2Pデータ貼り付け!T270,製品仕様マスタ!B:B,0))),"")</f>
        <v/>
      </c>
      <c r="AJ270" s="15" t="str">
        <f>_xlfn.IFNA(IF(INDEX(製品仕様マスタ!AK:AK,MATCH(W2Pデータ貼り付け!T270,製品仕様マスタ!B:B,0))=0,"",INDEX(製品仕様マスタ!AK:AK,MATCH(W2Pデータ貼り付け!T270,製品仕様マスタ!B:B,0))),"")</f>
        <v/>
      </c>
      <c r="AK270" s="198" t="str">
        <f>_xlfn.IFNA(IF(INDEX(製品仕様マスタ!AY:AY,MATCH(W2Pデータ貼り付け!T270,製品仕様マスタ!B:B,0))=0,"",IF(INDEX(製品仕様マスタ!AY:AY,MATCH(W2Pデータ貼り付け!T270,製品仕様マスタ!B:B,0)) &lt;&gt; "-",INDEX(製品仕様マスタ!AY:AY,MATCH(W2Pデータ貼り付け!T270,製品仕様マスタ!B:B,0)),INDEX(製品仕様マスタ!AZ$1:BZ$500,MATCH(W2Pデータ貼り付け!T270,製品仕様マスタ!B:B,0),MATCH(W2Pデータ貼り付け!V270,製品仕様マスタ!AZ$1:BZ$1,0)))),"")</f>
        <v/>
      </c>
      <c r="AL270" s="15" t="str">
        <f t="shared" si="4"/>
        <v/>
      </c>
      <c r="AM270" s="15" t="str">
        <f>IF(AF270&lt;&gt;"",IF(ISNUMBER(T270),COUNT(AM$2:AM269)+1,""),"")</f>
        <v/>
      </c>
    </row>
    <row r="271" spans="35:39" x14ac:dyDescent="0.15">
      <c r="AI271" s="15" t="str">
        <f>_xlfn.IFNA(IF(INDEX(製品仕様マスタ!C:C,MATCH(W2Pデータ貼り付け!T271,製品仕様マスタ!B:B,0))=0,"",INDEX(製品仕様マスタ!C:C,MATCH(W2Pデータ貼り付け!T271,製品仕様マスタ!B:B,0))),"")</f>
        <v/>
      </c>
      <c r="AJ271" s="15" t="str">
        <f>_xlfn.IFNA(IF(INDEX(製品仕様マスタ!AK:AK,MATCH(W2Pデータ貼り付け!T271,製品仕様マスタ!B:B,0))=0,"",INDEX(製品仕様マスタ!AK:AK,MATCH(W2Pデータ貼り付け!T271,製品仕様マスタ!B:B,0))),"")</f>
        <v/>
      </c>
      <c r="AK271" s="198" t="str">
        <f>_xlfn.IFNA(IF(INDEX(製品仕様マスタ!AY:AY,MATCH(W2Pデータ貼り付け!T271,製品仕様マスタ!B:B,0))=0,"",IF(INDEX(製品仕様マスタ!AY:AY,MATCH(W2Pデータ貼り付け!T271,製品仕様マスタ!B:B,0)) &lt;&gt; "-",INDEX(製品仕様マスタ!AY:AY,MATCH(W2Pデータ貼り付け!T271,製品仕様マスタ!B:B,0)),INDEX(製品仕様マスタ!AZ$1:BZ$500,MATCH(W2Pデータ貼り付け!T271,製品仕様マスタ!B:B,0),MATCH(W2Pデータ貼り付け!V271,製品仕様マスタ!AZ$1:BZ$1,0)))),"")</f>
        <v/>
      </c>
      <c r="AL271" s="15" t="str">
        <f t="shared" si="4"/>
        <v/>
      </c>
      <c r="AM271" s="15" t="str">
        <f>IF(AF271&lt;&gt;"",IF(ISNUMBER(T271),COUNT(AM$2:AM270)+1,""),"")</f>
        <v/>
      </c>
    </row>
    <row r="272" spans="35:39" x14ac:dyDescent="0.15">
      <c r="AI272" s="15" t="str">
        <f>_xlfn.IFNA(IF(INDEX(製品仕様マスタ!C:C,MATCH(W2Pデータ貼り付け!T272,製品仕様マスタ!B:B,0))=0,"",INDEX(製品仕様マスタ!C:C,MATCH(W2Pデータ貼り付け!T272,製品仕様マスタ!B:B,0))),"")</f>
        <v/>
      </c>
      <c r="AJ272" s="15" t="str">
        <f>_xlfn.IFNA(IF(INDEX(製品仕様マスタ!AK:AK,MATCH(W2Pデータ貼り付け!T272,製品仕様マスタ!B:B,0))=0,"",INDEX(製品仕様マスタ!AK:AK,MATCH(W2Pデータ貼り付け!T272,製品仕様マスタ!B:B,0))),"")</f>
        <v/>
      </c>
      <c r="AK272" s="198" t="str">
        <f>_xlfn.IFNA(IF(INDEX(製品仕様マスタ!AY:AY,MATCH(W2Pデータ貼り付け!T272,製品仕様マスタ!B:B,0))=0,"",IF(INDEX(製品仕様マスタ!AY:AY,MATCH(W2Pデータ貼り付け!T272,製品仕様マスタ!B:B,0)) &lt;&gt; "-",INDEX(製品仕様マスタ!AY:AY,MATCH(W2Pデータ貼り付け!T272,製品仕様マスタ!B:B,0)),INDEX(製品仕様マスタ!AZ$1:BZ$500,MATCH(W2Pデータ貼り付け!T272,製品仕様マスタ!B:B,0),MATCH(W2Pデータ貼り付け!V272,製品仕様マスタ!AZ$1:BZ$1,0)))),"")</f>
        <v/>
      </c>
      <c r="AL272" s="15" t="str">
        <f t="shared" si="4"/>
        <v/>
      </c>
      <c r="AM272" s="15" t="str">
        <f>IF(AF272&lt;&gt;"",IF(ISNUMBER(T272),COUNT(AM$2:AM271)+1,""),"")</f>
        <v/>
      </c>
    </row>
    <row r="273" spans="35:39" x14ac:dyDescent="0.15">
      <c r="AI273" s="15" t="str">
        <f>_xlfn.IFNA(IF(INDEX(製品仕様マスタ!C:C,MATCH(W2Pデータ貼り付け!T273,製品仕様マスタ!B:B,0))=0,"",INDEX(製品仕様マスタ!C:C,MATCH(W2Pデータ貼り付け!T273,製品仕様マスタ!B:B,0))),"")</f>
        <v/>
      </c>
      <c r="AJ273" s="15" t="str">
        <f>_xlfn.IFNA(IF(INDEX(製品仕様マスタ!AK:AK,MATCH(W2Pデータ貼り付け!T273,製品仕様マスタ!B:B,0))=0,"",INDEX(製品仕様マスタ!AK:AK,MATCH(W2Pデータ貼り付け!T273,製品仕様マスタ!B:B,0))),"")</f>
        <v/>
      </c>
      <c r="AK273" s="198" t="str">
        <f>_xlfn.IFNA(IF(INDEX(製品仕様マスタ!AY:AY,MATCH(W2Pデータ貼り付け!T273,製品仕様マスタ!B:B,0))=0,"",IF(INDEX(製品仕様マスタ!AY:AY,MATCH(W2Pデータ貼り付け!T273,製品仕様マスタ!B:B,0)) &lt;&gt; "-",INDEX(製品仕様マスタ!AY:AY,MATCH(W2Pデータ貼り付け!T273,製品仕様マスタ!B:B,0)),INDEX(製品仕様マスタ!AZ$1:BZ$500,MATCH(W2Pデータ貼り付け!T273,製品仕様マスタ!B:B,0),MATCH(W2Pデータ貼り付け!V273,製品仕様マスタ!AZ$1:BZ$1,0)))),"")</f>
        <v/>
      </c>
      <c r="AL273" s="15" t="str">
        <f t="shared" si="4"/>
        <v/>
      </c>
      <c r="AM273" s="15" t="str">
        <f>IF(AF273&lt;&gt;"",IF(ISNUMBER(T273),COUNT(AM$2:AM272)+1,""),"")</f>
        <v/>
      </c>
    </row>
    <row r="274" spans="35:39" x14ac:dyDescent="0.15">
      <c r="AI274" s="15" t="str">
        <f>_xlfn.IFNA(IF(INDEX(製品仕様マスタ!C:C,MATCH(W2Pデータ貼り付け!T274,製品仕様マスタ!B:B,0))=0,"",INDEX(製品仕様マスタ!C:C,MATCH(W2Pデータ貼り付け!T274,製品仕様マスタ!B:B,0))),"")</f>
        <v/>
      </c>
      <c r="AJ274" s="15" t="str">
        <f>_xlfn.IFNA(IF(INDEX(製品仕様マスタ!AK:AK,MATCH(W2Pデータ貼り付け!T274,製品仕様マスタ!B:B,0))=0,"",INDEX(製品仕様マスタ!AK:AK,MATCH(W2Pデータ貼り付け!T274,製品仕様マスタ!B:B,0))),"")</f>
        <v/>
      </c>
      <c r="AK274" s="198" t="str">
        <f>_xlfn.IFNA(IF(INDEX(製品仕様マスタ!AY:AY,MATCH(W2Pデータ貼り付け!T274,製品仕様マスタ!B:B,0))=0,"",IF(INDEX(製品仕様マスタ!AY:AY,MATCH(W2Pデータ貼り付け!T274,製品仕様マスタ!B:B,0)) &lt;&gt; "-",INDEX(製品仕様マスタ!AY:AY,MATCH(W2Pデータ貼り付け!T274,製品仕様マスタ!B:B,0)),INDEX(製品仕様マスタ!AZ$1:BZ$500,MATCH(W2Pデータ貼り付け!T274,製品仕様マスタ!B:B,0),MATCH(W2Pデータ貼り付け!V274,製品仕様マスタ!AZ$1:BZ$1,0)))),"")</f>
        <v/>
      </c>
      <c r="AL274" s="15" t="str">
        <f t="shared" si="4"/>
        <v/>
      </c>
      <c r="AM274" s="15" t="str">
        <f>IF(AF274&lt;&gt;"",IF(ISNUMBER(T274),COUNT(AM$2:AM273)+1,""),"")</f>
        <v/>
      </c>
    </row>
    <row r="275" spans="35:39" x14ac:dyDescent="0.15">
      <c r="AI275" s="15" t="str">
        <f>_xlfn.IFNA(IF(INDEX(製品仕様マスタ!C:C,MATCH(W2Pデータ貼り付け!T275,製品仕様マスタ!B:B,0))=0,"",INDEX(製品仕様マスタ!C:C,MATCH(W2Pデータ貼り付け!T275,製品仕様マスタ!B:B,0))),"")</f>
        <v/>
      </c>
      <c r="AJ275" s="15" t="str">
        <f>_xlfn.IFNA(IF(INDEX(製品仕様マスタ!AK:AK,MATCH(W2Pデータ貼り付け!T275,製品仕様マスタ!B:B,0))=0,"",INDEX(製品仕様マスタ!AK:AK,MATCH(W2Pデータ貼り付け!T275,製品仕様マスタ!B:B,0))),"")</f>
        <v/>
      </c>
      <c r="AK275" s="198" t="str">
        <f>_xlfn.IFNA(IF(INDEX(製品仕様マスタ!AY:AY,MATCH(W2Pデータ貼り付け!T275,製品仕様マスタ!B:B,0))=0,"",IF(INDEX(製品仕様マスタ!AY:AY,MATCH(W2Pデータ貼り付け!T275,製品仕様マスタ!B:B,0)) &lt;&gt; "-",INDEX(製品仕様マスタ!AY:AY,MATCH(W2Pデータ貼り付け!T275,製品仕様マスタ!B:B,0)),INDEX(製品仕様マスタ!AZ$1:BZ$500,MATCH(W2Pデータ貼り付け!T275,製品仕様マスタ!B:B,0),MATCH(W2Pデータ貼り付け!V275,製品仕様マスタ!AZ$1:BZ$1,0)))),"")</f>
        <v/>
      </c>
      <c r="AL275" s="15" t="str">
        <f t="shared" si="4"/>
        <v/>
      </c>
      <c r="AM275" s="15" t="str">
        <f>IF(AF275&lt;&gt;"",IF(ISNUMBER(T275),COUNT(AM$2:AM274)+1,""),"")</f>
        <v/>
      </c>
    </row>
    <row r="276" spans="35:39" x14ac:dyDescent="0.15">
      <c r="AI276" s="15" t="str">
        <f>_xlfn.IFNA(IF(INDEX(製品仕様マスタ!C:C,MATCH(W2Pデータ貼り付け!T276,製品仕様マスタ!B:B,0))=0,"",INDEX(製品仕様マスタ!C:C,MATCH(W2Pデータ貼り付け!T276,製品仕様マスタ!B:B,0))),"")</f>
        <v/>
      </c>
      <c r="AJ276" s="15" t="str">
        <f>_xlfn.IFNA(IF(INDEX(製品仕様マスタ!AK:AK,MATCH(W2Pデータ貼り付け!T276,製品仕様マスタ!B:B,0))=0,"",INDEX(製品仕様マスタ!AK:AK,MATCH(W2Pデータ貼り付け!T276,製品仕様マスタ!B:B,0))),"")</f>
        <v/>
      </c>
      <c r="AK276" s="198" t="str">
        <f>_xlfn.IFNA(IF(INDEX(製品仕様マスタ!AY:AY,MATCH(W2Pデータ貼り付け!T276,製品仕様マスタ!B:B,0))=0,"",IF(INDEX(製品仕様マスタ!AY:AY,MATCH(W2Pデータ貼り付け!T276,製品仕様マスタ!B:B,0)) &lt;&gt; "-",INDEX(製品仕様マスタ!AY:AY,MATCH(W2Pデータ貼り付け!T276,製品仕様マスタ!B:B,0)),INDEX(製品仕様マスタ!AZ$1:BZ$500,MATCH(W2Pデータ貼り付け!T276,製品仕様マスタ!B:B,0),MATCH(W2Pデータ貼り付け!V276,製品仕様マスタ!AZ$1:BZ$1,0)))),"")</f>
        <v/>
      </c>
      <c r="AL276" s="15" t="str">
        <f t="shared" si="4"/>
        <v/>
      </c>
      <c r="AM276" s="15" t="str">
        <f>IF(AF276&lt;&gt;"",IF(ISNUMBER(T276),COUNT(AM$2:AM275)+1,""),"")</f>
        <v/>
      </c>
    </row>
    <row r="277" spans="35:39" x14ac:dyDescent="0.15">
      <c r="AI277" s="15" t="str">
        <f>_xlfn.IFNA(IF(INDEX(製品仕様マスタ!C:C,MATCH(W2Pデータ貼り付け!T277,製品仕様マスタ!B:B,0))=0,"",INDEX(製品仕様マスタ!C:C,MATCH(W2Pデータ貼り付け!T277,製品仕様マスタ!B:B,0))),"")</f>
        <v/>
      </c>
      <c r="AJ277" s="15" t="str">
        <f>_xlfn.IFNA(IF(INDEX(製品仕様マスタ!AK:AK,MATCH(W2Pデータ貼り付け!T277,製品仕様マスタ!B:B,0))=0,"",INDEX(製品仕様マスタ!AK:AK,MATCH(W2Pデータ貼り付け!T277,製品仕様マスタ!B:B,0))),"")</f>
        <v/>
      </c>
      <c r="AK277" s="198" t="str">
        <f>_xlfn.IFNA(IF(INDEX(製品仕様マスタ!AY:AY,MATCH(W2Pデータ貼り付け!T277,製品仕様マスタ!B:B,0))=0,"",IF(INDEX(製品仕様マスタ!AY:AY,MATCH(W2Pデータ貼り付け!T277,製品仕様マスタ!B:B,0)) &lt;&gt; "-",INDEX(製品仕様マスタ!AY:AY,MATCH(W2Pデータ貼り付け!T277,製品仕様マスタ!B:B,0)),INDEX(製品仕様マスタ!AZ$1:BZ$500,MATCH(W2Pデータ貼り付け!T277,製品仕様マスタ!B:B,0),MATCH(W2Pデータ貼り付け!V277,製品仕様マスタ!AZ$1:BZ$1,0)))),"")</f>
        <v/>
      </c>
      <c r="AL277" s="15" t="str">
        <f t="shared" si="4"/>
        <v/>
      </c>
      <c r="AM277" s="15" t="str">
        <f>IF(AF277&lt;&gt;"",IF(ISNUMBER(T277),COUNT(AM$2:AM276)+1,""),"")</f>
        <v/>
      </c>
    </row>
    <row r="278" spans="35:39" x14ac:dyDescent="0.15">
      <c r="AI278" s="15" t="str">
        <f>_xlfn.IFNA(IF(INDEX(製品仕様マスタ!C:C,MATCH(W2Pデータ貼り付け!T278,製品仕様マスタ!B:B,0))=0,"",INDEX(製品仕様マスタ!C:C,MATCH(W2Pデータ貼り付け!T278,製品仕様マスタ!B:B,0))),"")</f>
        <v/>
      </c>
      <c r="AJ278" s="15" t="str">
        <f>_xlfn.IFNA(IF(INDEX(製品仕様マスタ!AK:AK,MATCH(W2Pデータ貼り付け!T278,製品仕様マスタ!B:B,0))=0,"",INDEX(製品仕様マスタ!AK:AK,MATCH(W2Pデータ貼り付け!T278,製品仕様マスタ!B:B,0))),"")</f>
        <v/>
      </c>
      <c r="AK278" s="198" t="str">
        <f>_xlfn.IFNA(IF(INDEX(製品仕様マスタ!AY:AY,MATCH(W2Pデータ貼り付け!T278,製品仕様マスタ!B:B,0))=0,"",IF(INDEX(製品仕様マスタ!AY:AY,MATCH(W2Pデータ貼り付け!T278,製品仕様マスタ!B:B,0)) &lt;&gt; "-",INDEX(製品仕様マスタ!AY:AY,MATCH(W2Pデータ貼り付け!T278,製品仕様マスタ!B:B,0)),INDEX(製品仕様マスタ!AZ$1:BZ$500,MATCH(W2Pデータ貼り付け!T278,製品仕様マスタ!B:B,0),MATCH(W2Pデータ貼り付け!V278,製品仕様マスタ!AZ$1:BZ$1,0)))),"")</f>
        <v/>
      </c>
      <c r="AL278" s="15" t="str">
        <f t="shared" si="4"/>
        <v/>
      </c>
      <c r="AM278" s="15" t="str">
        <f>IF(AF278&lt;&gt;"",IF(ISNUMBER(T278),COUNT(AM$2:AM277)+1,""),"")</f>
        <v/>
      </c>
    </row>
    <row r="279" spans="35:39" x14ac:dyDescent="0.15">
      <c r="AI279" s="15" t="str">
        <f>_xlfn.IFNA(IF(INDEX(製品仕様マスタ!C:C,MATCH(W2Pデータ貼り付け!T279,製品仕様マスタ!B:B,0))=0,"",INDEX(製品仕様マスタ!C:C,MATCH(W2Pデータ貼り付け!T279,製品仕様マスタ!B:B,0))),"")</f>
        <v/>
      </c>
      <c r="AJ279" s="15" t="str">
        <f>_xlfn.IFNA(IF(INDEX(製品仕様マスタ!AK:AK,MATCH(W2Pデータ貼り付け!T279,製品仕様マスタ!B:B,0))=0,"",INDEX(製品仕様マスタ!AK:AK,MATCH(W2Pデータ貼り付け!T279,製品仕様マスタ!B:B,0))),"")</f>
        <v/>
      </c>
      <c r="AK279" s="198" t="str">
        <f>_xlfn.IFNA(IF(INDEX(製品仕様マスタ!AY:AY,MATCH(W2Pデータ貼り付け!T279,製品仕様マスタ!B:B,0))=0,"",IF(INDEX(製品仕様マスタ!AY:AY,MATCH(W2Pデータ貼り付け!T279,製品仕様マスタ!B:B,0)) &lt;&gt; "-",INDEX(製品仕様マスタ!AY:AY,MATCH(W2Pデータ貼り付け!T279,製品仕様マスタ!B:B,0)),INDEX(製品仕様マスタ!AZ$1:BZ$500,MATCH(W2Pデータ貼り付け!T279,製品仕様マスタ!B:B,0),MATCH(W2Pデータ貼り付け!V279,製品仕様マスタ!AZ$1:BZ$1,0)))),"")</f>
        <v/>
      </c>
      <c r="AL279" s="15" t="str">
        <f t="shared" si="4"/>
        <v/>
      </c>
      <c r="AM279" s="15" t="str">
        <f>IF(AF279&lt;&gt;"",IF(ISNUMBER(T279),COUNT(AM$2:AM278)+1,""),"")</f>
        <v/>
      </c>
    </row>
    <row r="280" spans="35:39" x14ac:dyDescent="0.15">
      <c r="AI280" s="15" t="str">
        <f>_xlfn.IFNA(IF(INDEX(製品仕様マスタ!C:C,MATCH(W2Pデータ貼り付け!T280,製品仕様マスタ!B:B,0))=0,"",INDEX(製品仕様マスタ!C:C,MATCH(W2Pデータ貼り付け!T280,製品仕様マスタ!B:B,0))),"")</f>
        <v/>
      </c>
      <c r="AJ280" s="15" t="str">
        <f>_xlfn.IFNA(IF(INDEX(製品仕様マスタ!AK:AK,MATCH(W2Pデータ貼り付け!T280,製品仕様マスタ!B:B,0))=0,"",INDEX(製品仕様マスタ!AK:AK,MATCH(W2Pデータ貼り付け!T280,製品仕様マスタ!B:B,0))),"")</f>
        <v/>
      </c>
      <c r="AK280" s="198" t="str">
        <f>_xlfn.IFNA(IF(INDEX(製品仕様マスタ!AY:AY,MATCH(W2Pデータ貼り付け!T280,製品仕様マスタ!B:B,0))=0,"",IF(INDEX(製品仕様マスタ!AY:AY,MATCH(W2Pデータ貼り付け!T280,製品仕様マスタ!B:B,0)) &lt;&gt; "-",INDEX(製品仕様マスタ!AY:AY,MATCH(W2Pデータ貼り付け!T280,製品仕様マスタ!B:B,0)),INDEX(製品仕様マスタ!AZ$1:BZ$500,MATCH(W2Pデータ貼り付け!T280,製品仕様マスタ!B:B,0),MATCH(W2Pデータ貼り付け!V280,製品仕様マスタ!AZ$1:BZ$1,0)))),"")</f>
        <v/>
      </c>
      <c r="AL280" s="15" t="str">
        <f t="shared" si="4"/>
        <v/>
      </c>
      <c r="AM280" s="15" t="str">
        <f>IF(AF280&lt;&gt;"",IF(ISNUMBER(T280),COUNT(AM$2:AM279)+1,""),"")</f>
        <v/>
      </c>
    </row>
    <row r="281" spans="35:39" x14ac:dyDescent="0.15">
      <c r="AI281" s="15" t="str">
        <f>_xlfn.IFNA(IF(INDEX(製品仕様マスタ!C:C,MATCH(W2Pデータ貼り付け!T281,製品仕様マスタ!B:B,0))=0,"",INDEX(製品仕様マスタ!C:C,MATCH(W2Pデータ貼り付け!T281,製品仕様マスタ!B:B,0))),"")</f>
        <v/>
      </c>
      <c r="AJ281" s="15" t="str">
        <f>_xlfn.IFNA(IF(INDEX(製品仕様マスタ!AK:AK,MATCH(W2Pデータ貼り付け!T281,製品仕様マスタ!B:B,0))=0,"",INDEX(製品仕様マスタ!AK:AK,MATCH(W2Pデータ貼り付け!T281,製品仕様マスタ!B:B,0))),"")</f>
        <v/>
      </c>
      <c r="AK281" s="198" t="str">
        <f>_xlfn.IFNA(IF(INDEX(製品仕様マスタ!AY:AY,MATCH(W2Pデータ貼り付け!T281,製品仕様マスタ!B:B,0))=0,"",IF(INDEX(製品仕様マスタ!AY:AY,MATCH(W2Pデータ貼り付け!T281,製品仕様マスタ!B:B,0)) &lt;&gt; "-",INDEX(製品仕様マスタ!AY:AY,MATCH(W2Pデータ貼り付け!T281,製品仕様マスタ!B:B,0)),INDEX(製品仕様マスタ!AZ$1:BZ$500,MATCH(W2Pデータ貼り付け!T281,製品仕様マスタ!B:B,0),MATCH(W2Pデータ貼り付け!V281,製品仕様マスタ!AZ$1:BZ$1,0)))),"")</f>
        <v/>
      </c>
      <c r="AL281" s="15" t="str">
        <f t="shared" si="4"/>
        <v/>
      </c>
      <c r="AM281" s="15" t="str">
        <f>IF(AF281&lt;&gt;"",IF(ISNUMBER(T281),COUNT(AM$2:AM280)+1,""),"")</f>
        <v/>
      </c>
    </row>
    <row r="282" spans="35:39" x14ac:dyDescent="0.15">
      <c r="AI282" s="15" t="str">
        <f>_xlfn.IFNA(IF(INDEX(製品仕様マスタ!C:C,MATCH(W2Pデータ貼り付け!T282,製品仕様マスタ!B:B,0))=0,"",INDEX(製品仕様マスタ!C:C,MATCH(W2Pデータ貼り付け!T282,製品仕様マスタ!B:B,0))),"")</f>
        <v/>
      </c>
      <c r="AJ282" s="15" t="str">
        <f>_xlfn.IFNA(IF(INDEX(製品仕様マスタ!AK:AK,MATCH(W2Pデータ貼り付け!T282,製品仕様マスタ!B:B,0))=0,"",INDEX(製品仕様マスタ!AK:AK,MATCH(W2Pデータ貼り付け!T282,製品仕様マスタ!B:B,0))),"")</f>
        <v/>
      </c>
      <c r="AK282" s="198" t="str">
        <f>_xlfn.IFNA(IF(INDEX(製品仕様マスタ!AY:AY,MATCH(W2Pデータ貼り付け!T282,製品仕様マスタ!B:B,0))=0,"",IF(INDEX(製品仕様マスタ!AY:AY,MATCH(W2Pデータ貼り付け!T282,製品仕様マスタ!B:B,0)) &lt;&gt; "-",INDEX(製品仕様マスタ!AY:AY,MATCH(W2Pデータ貼り付け!T282,製品仕様マスタ!B:B,0)),INDEX(製品仕様マスタ!AZ$1:BZ$500,MATCH(W2Pデータ貼り付け!T282,製品仕様マスタ!B:B,0),MATCH(W2Pデータ貼り付け!V282,製品仕様マスタ!AZ$1:BZ$1,0)))),"")</f>
        <v/>
      </c>
      <c r="AL282" s="15" t="str">
        <f t="shared" si="4"/>
        <v/>
      </c>
      <c r="AM282" s="15" t="str">
        <f>IF(AF282&lt;&gt;"",IF(ISNUMBER(T282),COUNT(AM$2:AM281)+1,""),"")</f>
        <v/>
      </c>
    </row>
    <row r="283" spans="35:39" x14ac:dyDescent="0.15">
      <c r="AI283" s="15" t="str">
        <f>_xlfn.IFNA(IF(INDEX(製品仕様マスタ!C:C,MATCH(W2Pデータ貼り付け!T283,製品仕様マスタ!B:B,0))=0,"",INDEX(製品仕様マスタ!C:C,MATCH(W2Pデータ貼り付け!T283,製品仕様マスタ!B:B,0))),"")</f>
        <v/>
      </c>
      <c r="AJ283" s="15" t="str">
        <f>_xlfn.IFNA(IF(INDEX(製品仕様マスタ!AK:AK,MATCH(W2Pデータ貼り付け!T283,製品仕様マスタ!B:B,0))=0,"",INDEX(製品仕様マスタ!AK:AK,MATCH(W2Pデータ貼り付け!T283,製品仕様マスタ!B:B,0))),"")</f>
        <v/>
      </c>
      <c r="AK283" s="198" t="str">
        <f>_xlfn.IFNA(IF(INDEX(製品仕様マスタ!AY:AY,MATCH(W2Pデータ貼り付け!T283,製品仕様マスタ!B:B,0))=0,"",IF(INDEX(製品仕様マスタ!AY:AY,MATCH(W2Pデータ貼り付け!T283,製品仕様マスタ!B:B,0)) &lt;&gt; "-",INDEX(製品仕様マスタ!AY:AY,MATCH(W2Pデータ貼り付け!T283,製品仕様マスタ!B:B,0)),INDEX(製品仕様マスタ!AZ$1:BZ$500,MATCH(W2Pデータ貼り付け!T283,製品仕様マスタ!B:B,0),MATCH(W2Pデータ貼り付け!V283,製品仕様マスタ!AZ$1:BZ$1,0)))),"")</f>
        <v/>
      </c>
      <c r="AL283" s="15" t="str">
        <f t="shared" si="4"/>
        <v/>
      </c>
      <c r="AM283" s="15" t="str">
        <f>IF(AF283&lt;&gt;"",IF(ISNUMBER(T283),COUNT(AM$2:AM282)+1,""),"")</f>
        <v/>
      </c>
    </row>
    <row r="284" spans="35:39" x14ac:dyDescent="0.15">
      <c r="AI284" s="15" t="str">
        <f>_xlfn.IFNA(IF(INDEX(製品仕様マスタ!C:C,MATCH(W2Pデータ貼り付け!T284,製品仕様マスタ!B:B,0))=0,"",INDEX(製品仕様マスタ!C:C,MATCH(W2Pデータ貼り付け!T284,製品仕様マスタ!B:B,0))),"")</f>
        <v/>
      </c>
      <c r="AJ284" s="15" t="str">
        <f>_xlfn.IFNA(IF(INDEX(製品仕様マスタ!AK:AK,MATCH(W2Pデータ貼り付け!T284,製品仕様マスタ!B:B,0))=0,"",INDEX(製品仕様マスタ!AK:AK,MATCH(W2Pデータ貼り付け!T284,製品仕様マスタ!B:B,0))),"")</f>
        <v/>
      </c>
      <c r="AK284" s="198" t="str">
        <f>_xlfn.IFNA(IF(INDEX(製品仕様マスタ!AY:AY,MATCH(W2Pデータ貼り付け!T284,製品仕様マスタ!B:B,0))=0,"",IF(INDEX(製品仕様マスタ!AY:AY,MATCH(W2Pデータ貼り付け!T284,製品仕様マスタ!B:B,0)) &lt;&gt; "-",INDEX(製品仕様マスタ!AY:AY,MATCH(W2Pデータ貼り付け!T284,製品仕様マスタ!B:B,0)),INDEX(製品仕様マスタ!AZ$1:BZ$500,MATCH(W2Pデータ貼り付け!T284,製品仕様マスタ!B:B,0),MATCH(W2Pデータ貼り付け!V284,製品仕様マスタ!AZ$1:BZ$1,0)))),"")</f>
        <v/>
      </c>
      <c r="AL284" s="15" t="str">
        <f t="shared" si="4"/>
        <v/>
      </c>
      <c r="AM284" s="15" t="str">
        <f>IF(AF284&lt;&gt;"",IF(ISNUMBER(T284),COUNT(AM$2:AM283)+1,""),"")</f>
        <v/>
      </c>
    </row>
    <row r="285" spans="35:39" x14ac:dyDescent="0.15">
      <c r="AI285" s="15" t="str">
        <f>_xlfn.IFNA(IF(INDEX(製品仕様マスタ!C:C,MATCH(W2Pデータ貼り付け!T285,製品仕様マスタ!B:B,0))=0,"",INDEX(製品仕様マスタ!C:C,MATCH(W2Pデータ貼り付け!T285,製品仕様マスタ!B:B,0))),"")</f>
        <v/>
      </c>
      <c r="AJ285" s="15" t="str">
        <f>_xlfn.IFNA(IF(INDEX(製品仕様マスタ!AK:AK,MATCH(W2Pデータ貼り付け!T285,製品仕様マスタ!B:B,0))=0,"",INDEX(製品仕様マスタ!AK:AK,MATCH(W2Pデータ貼り付け!T285,製品仕様マスタ!B:B,0))),"")</f>
        <v/>
      </c>
      <c r="AK285" s="198" t="str">
        <f>_xlfn.IFNA(IF(INDEX(製品仕様マスタ!AY:AY,MATCH(W2Pデータ貼り付け!T285,製品仕様マスタ!B:B,0))=0,"",IF(INDEX(製品仕様マスタ!AY:AY,MATCH(W2Pデータ貼り付け!T285,製品仕様マスタ!B:B,0)) &lt;&gt; "-",INDEX(製品仕様マスタ!AY:AY,MATCH(W2Pデータ貼り付け!T285,製品仕様マスタ!B:B,0)),INDEX(製品仕様マスタ!AZ$1:BZ$500,MATCH(W2Pデータ貼り付け!T285,製品仕様マスタ!B:B,0),MATCH(W2Pデータ貼り付け!V285,製品仕様マスタ!AZ$1:BZ$1,0)))),"")</f>
        <v/>
      </c>
      <c r="AL285" s="15" t="str">
        <f t="shared" si="4"/>
        <v/>
      </c>
      <c r="AM285" s="15" t="str">
        <f>IF(AF285&lt;&gt;"",IF(ISNUMBER(T285),COUNT(AM$2:AM284)+1,""),"")</f>
        <v/>
      </c>
    </row>
    <row r="286" spans="35:39" x14ac:dyDescent="0.15">
      <c r="AI286" s="15" t="str">
        <f>_xlfn.IFNA(IF(INDEX(製品仕様マスタ!C:C,MATCH(W2Pデータ貼り付け!T286,製品仕様マスタ!B:B,0))=0,"",INDEX(製品仕様マスタ!C:C,MATCH(W2Pデータ貼り付け!T286,製品仕様マスタ!B:B,0))),"")</f>
        <v/>
      </c>
      <c r="AJ286" s="15" t="str">
        <f>_xlfn.IFNA(IF(INDEX(製品仕様マスタ!AK:AK,MATCH(W2Pデータ貼り付け!T286,製品仕様マスタ!B:B,0))=0,"",INDEX(製品仕様マスタ!AK:AK,MATCH(W2Pデータ貼り付け!T286,製品仕様マスタ!B:B,0))),"")</f>
        <v/>
      </c>
      <c r="AK286" s="198" t="str">
        <f>_xlfn.IFNA(IF(INDEX(製品仕様マスタ!AY:AY,MATCH(W2Pデータ貼り付け!T286,製品仕様マスタ!B:B,0))=0,"",IF(INDEX(製品仕様マスタ!AY:AY,MATCH(W2Pデータ貼り付け!T286,製品仕様マスタ!B:B,0)) &lt;&gt; "-",INDEX(製品仕様マスタ!AY:AY,MATCH(W2Pデータ貼り付け!T286,製品仕様マスタ!B:B,0)),INDEX(製品仕様マスタ!AZ$1:BZ$500,MATCH(W2Pデータ貼り付け!T286,製品仕様マスタ!B:B,0),MATCH(W2Pデータ貼り付け!V286,製品仕様マスタ!AZ$1:BZ$1,0)))),"")</f>
        <v/>
      </c>
      <c r="AL286" s="15" t="str">
        <f t="shared" si="4"/>
        <v/>
      </c>
      <c r="AM286" s="15" t="str">
        <f>IF(AF286&lt;&gt;"",IF(ISNUMBER(T286),COUNT(AM$2:AM285)+1,""),"")</f>
        <v/>
      </c>
    </row>
    <row r="287" spans="35:39" x14ac:dyDescent="0.15">
      <c r="AI287" s="15" t="str">
        <f>_xlfn.IFNA(IF(INDEX(製品仕様マスタ!C:C,MATCH(W2Pデータ貼り付け!T287,製品仕様マスタ!B:B,0))=0,"",INDEX(製品仕様マスタ!C:C,MATCH(W2Pデータ貼り付け!T287,製品仕様マスタ!B:B,0))),"")</f>
        <v/>
      </c>
      <c r="AJ287" s="15" t="str">
        <f>_xlfn.IFNA(IF(INDEX(製品仕様マスタ!AK:AK,MATCH(W2Pデータ貼り付け!T287,製品仕様マスタ!B:B,0))=0,"",INDEX(製品仕様マスタ!AK:AK,MATCH(W2Pデータ貼り付け!T287,製品仕様マスタ!B:B,0))),"")</f>
        <v/>
      </c>
      <c r="AK287" s="198" t="str">
        <f>_xlfn.IFNA(IF(INDEX(製品仕様マスタ!AY:AY,MATCH(W2Pデータ貼り付け!T287,製品仕様マスタ!B:B,0))=0,"",IF(INDEX(製品仕様マスタ!AY:AY,MATCH(W2Pデータ貼り付け!T287,製品仕様マスタ!B:B,0)) &lt;&gt; "-",INDEX(製品仕様マスタ!AY:AY,MATCH(W2Pデータ貼り付け!T287,製品仕様マスタ!B:B,0)),INDEX(製品仕様マスタ!AZ$1:BZ$500,MATCH(W2Pデータ貼り付け!T287,製品仕様マスタ!B:B,0),MATCH(W2Pデータ貼り付け!V287,製品仕様マスタ!AZ$1:BZ$1,0)))),"")</f>
        <v/>
      </c>
      <c r="AL287" s="15" t="str">
        <f t="shared" si="4"/>
        <v/>
      </c>
      <c r="AM287" s="15" t="str">
        <f>IF(AF287&lt;&gt;"",IF(ISNUMBER(T287),COUNT(AM$2:AM286)+1,""),"")</f>
        <v/>
      </c>
    </row>
    <row r="288" spans="35:39" x14ac:dyDescent="0.15">
      <c r="AI288" s="15" t="str">
        <f>_xlfn.IFNA(IF(INDEX(製品仕様マスタ!C:C,MATCH(W2Pデータ貼り付け!T288,製品仕様マスタ!B:B,0))=0,"",INDEX(製品仕様マスタ!C:C,MATCH(W2Pデータ貼り付け!T288,製品仕様マスタ!B:B,0))),"")</f>
        <v/>
      </c>
      <c r="AJ288" s="15" t="str">
        <f>_xlfn.IFNA(IF(INDEX(製品仕様マスタ!AK:AK,MATCH(W2Pデータ貼り付け!T288,製品仕様マスタ!B:B,0))=0,"",INDEX(製品仕様マスタ!AK:AK,MATCH(W2Pデータ貼り付け!T288,製品仕様マスタ!B:B,0))),"")</f>
        <v/>
      </c>
      <c r="AK288" s="198" t="str">
        <f>_xlfn.IFNA(IF(INDEX(製品仕様マスタ!AY:AY,MATCH(W2Pデータ貼り付け!T288,製品仕様マスタ!B:B,0))=0,"",IF(INDEX(製品仕様マスタ!AY:AY,MATCH(W2Pデータ貼り付け!T288,製品仕様マスタ!B:B,0)) &lt;&gt; "-",INDEX(製品仕様マスタ!AY:AY,MATCH(W2Pデータ貼り付け!T288,製品仕様マスタ!B:B,0)),INDEX(製品仕様マスタ!AZ$1:BZ$500,MATCH(W2Pデータ貼り付け!T288,製品仕様マスタ!B:B,0),MATCH(W2Pデータ貼り付け!V288,製品仕様マスタ!AZ$1:BZ$1,0)))),"")</f>
        <v/>
      </c>
      <c r="AL288" s="15" t="str">
        <f t="shared" si="4"/>
        <v/>
      </c>
      <c r="AM288" s="15" t="str">
        <f>IF(AF288&lt;&gt;"",IF(ISNUMBER(T288),COUNT(AM$2:AM287)+1,""),"")</f>
        <v/>
      </c>
    </row>
    <row r="289" spans="35:39" x14ac:dyDescent="0.15">
      <c r="AI289" s="15" t="str">
        <f>_xlfn.IFNA(IF(INDEX(製品仕様マスタ!C:C,MATCH(W2Pデータ貼り付け!T289,製品仕様マスタ!B:B,0))=0,"",INDEX(製品仕様マスタ!C:C,MATCH(W2Pデータ貼り付け!T289,製品仕様マスタ!B:B,0))),"")</f>
        <v/>
      </c>
      <c r="AJ289" s="15" t="str">
        <f>_xlfn.IFNA(IF(INDEX(製品仕様マスタ!AK:AK,MATCH(W2Pデータ貼り付け!T289,製品仕様マスタ!B:B,0))=0,"",INDEX(製品仕様マスタ!AK:AK,MATCH(W2Pデータ貼り付け!T289,製品仕様マスタ!B:B,0))),"")</f>
        <v/>
      </c>
      <c r="AK289" s="198" t="str">
        <f>_xlfn.IFNA(IF(INDEX(製品仕様マスタ!AY:AY,MATCH(W2Pデータ貼り付け!T289,製品仕様マスタ!B:B,0))=0,"",IF(INDEX(製品仕様マスタ!AY:AY,MATCH(W2Pデータ貼り付け!T289,製品仕様マスタ!B:B,0)) &lt;&gt; "-",INDEX(製品仕様マスタ!AY:AY,MATCH(W2Pデータ貼り付け!T289,製品仕様マスタ!B:B,0)),INDEX(製品仕様マスタ!AZ$1:BZ$500,MATCH(W2Pデータ貼り付け!T289,製品仕様マスタ!B:B,0),MATCH(W2Pデータ貼り付け!V289,製品仕様マスタ!AZ$1:BZ$1,0)))),"")</f>
        <v/>
      </c>
      <c r="AL289" s="15" t="str">
        <f t="shared" si="4"/>
        <v/>
      </c>
      <c r="AM289" s="15" t="str">
        <f>IF(AF289&lt;&gt;"",IF(ISNUMBER(T289),COUNT(AM$2:AM288)+1,""),"")</f>
        <v/>
      </c>
    </row>
    <row r="290" spans="35:39" x14ac:dyDescent="0.15">
      <c r="AI290" s="15" t="str">
        <f>_xlfn.IFNA(IF(INDEX(製品仕様マスタ!C:C,MATCH(W2Pデータ貼り付け!T290,製品仕様マスタ!B:B,0))=0,"",INDEX(製品仕様マスタ!C:C,MATCH(W2Pデータ貼り付け!T290,製品仕様マスタ!B:B,0))),"")</f>
        <v/>
      </c>
      <c r="AJ290" s="15" t="str">
        <f>_xlfn.IFNA(IF(INDEX(製品仕様マスタ!AK:AK,MATCH(W2Pデータ貼り付け!T290,製品仕様マスタ!B:B,0))=0,"",INDEX(製品仕様マスタ!AK:AK,MATCH(W2Pデータ貼り付け!T290,製品仕様マスタ!B:B,0))),"")</f>
        <v/>
      </c>
      <c r="AK290" s="198" t="str">
        <f>_xlfn.IFNA(IF(INDEX(製品仕様マスタ!AY:AY,MATCH(W2Pデータ貼り付け!T290,製品仕様マスタ!B:B,0))=0,"",IF(INDEX(製品仕様マスタ!AY:AY,MATCH(W2Pデータ貼り付け!T290,製品仕様マスタ!B:B,0)) &lt;&gt; "-",INDEX(製品仕様マスタ!AY:AY,MATCH(W2Pデータ貼り付け!T290,製品仕様マスタ!B:B,0)),INDEX(製品仕様マスタ!AZ$1:BZ$500,MATCH(W2Pデータ貼り付け!T290,製品仕様マスタ!B:B,0),MATCH(W2Pデータ貼り付け!V290,製品仕様マスタ!AZ$1:BZ$1,0)))),"")</f>
        <v/>
      </c>
      <c r="AL290" s="15" t="str">
        <f t="shared" si="4"/>
        <v/>
      </c>
      <c r="AM290" s="15" t="str">
        <f>IF(AF290&lt;&gt;"",IF(ISNUMBER(T290),COUNT(AM$2:AM289)+1,""),"")</f>
        <v/>
      </c>
    </row>
    <row r="291" spans="35:39" x14ac:dyDescent="0.15">
      <c r="AI291" s="15" t="str">
        <f>_xlfn.IFNA(IF(INDEX(製品仕様マスタ!C:C,MATCH(W2Pデータ貼り付け!T291,製品仕様マスタ!B:B,0))=0,"",INDEX(製品仕様マスタ!C:C,MATCH(W2Pデータ貼り付け!T291,製品仕様マスタ!B:B,0))),"")</f>
        <v/>
      </c>
      <c r="AJ291" s="15" t="str">
        <f>_xlfn.IFNA(IF(INDEX(製品仕様マスタ!AK:AK,MATCH(W2Pデータ貼り付け!T291,製品仕様マスタ!B:B,0))=0,"",INDEX(製品仕様マスタ!AK:AK,MATCH(W2Pデータ貼り付け!T291,製品仕様マスタ!B:B,0))),"")</f>
        <v/>
      </c>
      <c r="AK291" s="198" t="str">
        <f>_xlfn.IFNA(IF(INDEX(製品仕様マスタ!AY:AY,MATCH(W2Pデータ貼り付け!T291,製品仕様マスタ!B:B,0))=0,"",IF(INDEX(製品仕様マスタ!AY:AY,MATCH(W2Pデータ貼り付け!T291,製品仕様マスタ!B:B,0)) &lt;&gt; "-",INDEX(製品仕様マスタ!AY:AY,MATCH(W2Pデータ貼り付け!T291,製品仕様マスタ!B:B,0)),INDEX(製品仕様マスタ!AZ$1:BZ$500,MATCH(W2Pデータ貼り付け!T291,製品仕様マスタ!B:B,0),MATCH(W2Pデータ貼り付け!V291,製品仕様マスタ!AZ$1:BZ$1,0)))),"")</f>
        <v/>
      </c>
      <c r="AL291" s="15" t="str">
        <f t="shared" si="4"/>
        <v/>
      </c>
      <c r="AM291" s="15" t="str">
        <f>IF(AF291&lt;&gt;"",IF(ISNUMBER(T291),COUNT(AM$2:AM290)+1,""),"")</f>
        <v/>
      </c>
    </row>
    <row r="292" spans="35:39" x14ac:dyDescent="0.15">
      <c r="AI292" s="15" t="str">
        <f>_xlfn.IFNA(IF(INDEX(製品仕様マスタ!C:C,MATCH(W2Pデータ貼り付け!T292,製品仕様マスタ!B:B,0))=0,"",INDEX(製品仕様マスタ!C:C,MATCH(W2Pデータ貼り付け!T292,製品仕様マスタ!B:B,0))),"")</f>
        <v/>
      </c>
      <c r="AJ292" s="15" t="str">
        <f>_xlfn.IFNA(IF(INDEX(製品仕様マスタ!AK:AK,MATCH(W2Pデータ貼り付け!T292,製品仕様マスタ!B:B,0))=0,"",INDEX(製品仕様マスタ!AK:AK,MATCH(W2Pデータ貼り付け!T292,製品仕様マスタ!B:B,0))),"")</f>
        <v/>
      </c>
      <c r="AK292" s="198" t="str">
        <f>_xlfn.IFNA(IF(INDEX(製品仕様マスタ!AY:AY,MATCH(W2Pデータ貼り付け!T292,製品仕様マスタ!B:B,0))=0,"",IF(INDEX(製品仕様マスタ!AY:AY,MATCH(W2Pデータ貼り付け!T292,製品仕様マスタ!B:B,0)) &lt;&gt; "-",INDEX(製品仕様マスタ!AY:AY,MATCH(W2Pデータ貼り付け!T292,製品仕様マスタ!B:B,0)),INDEX(製品仕様マスタ!AZ$1:BZ$500,MATCH(W2Pデータ貼り付け!T292,製品仕様マスタ!B:B,0),MATCH(W2Pデータ貼り付け!V292,製品仕様マスタ!AZ$1:BZ$1,0)))),"")</f>
        <v/>
      </c>
      <c r="AL292" s="15" t="str">
        <f t="shared" si="4"/>
        <v/>
      </c>
      <c r="AM292" s="15" t="str">
        <f>IF(AF292&lt;&gt;"",IF(ISNUMBER(T292),COUNT(AM$2:AM291)+1,""),"")</f>
        <v/>
      </c>
    </row>
    <row r="293" spans="35:39" x14ac:dyDescent="0.15">
      <c r="AI293" s="15" t="str">
        <f>_xlfn.IFNA(IF(INDEX(製品仕様マスタ!C:C,MATCH(W2Pデータ貼り付け!T293,製品仕様マスタ!B:B,0))=0,"",INDEX(製品仕様マスタ!C:C,MATCH(W2Pデータ貼り付け!T293,製品仕様マスタ!B:B,0))),"")</f>
        <v/>
      </c>
      <c r="AJ293" s="15" t="str">
        <f>_xlfn.IFNA(IF(INDEX(製品仕様マスタ!AK:AK,MATCH(W2Pデータ貼り付け!T293,製品仕様マスタ!B:B,0))=0,"",INDEX(製品仕様マスタ!AK:AK,MATCH(W2Pデータ貼り付け!T293,製品仕様マスタ!B:B,0))),"")</f>
        <v/>
      </c>
      <c r="AK293" s="198" t="str">
        <f>_xlfn.IFNA(IF(INDEX(製品仕様マスタ!AY:AY,MATCH(W2Pデータ貼り付け!T293,製品仕様マスタ!B:B,0))=0,"",IF(INDEX(製品仕様マスタ!AY:AY,MATCH(W2Pデータ貼り付け!T293,製品仕様マスタ!B:B,0)) &lt;&gt; "-",INDEX(製品仕様マスタ!AY:AY,MATCH(W2Pデータ貼り付け!T293,製品仕様マスタ!B:B,0)),INDEX(製品仕様マスタ!AZ$1:BZ$500,MATCH(W2Pデータ貼り付け!T293,製品仕様マスタ!B:B,0),MATCH(W2Pデータ貼り付け!V293,製品仕様マスタ!AZ$1:BZ$1,0)))),"")</f>
        <v/>
      </c>
      <c r="AL293" s="15" t="str">
        <f t="shared" si="4"/>
        <v/>
      </c>
      <c r="AM293" s="15" t="str">
        <f>IF(AF293&lt;&gt;"",IF(ISNUMBER(T293),COUNT(AM$2:AM292)+1,""),"")</f>
        <v/>
      </c>
    </row>
    <row r="294" spans="35:39" x14ac:dyDescent="0.15">
      <c r="AI294" s="15" t="str">
        <f>_xlfn.IFNA(IF(INDEX(製品仕様マスタ!C:C,MATCH(W2Pデータ貼り付け!T294,製品仕様マスタ!B:B,0))=0,"",INDEX(製品仕様マスタ!C:C,MATCH(W2Pデータ貼り付け!T294,製品仕様マスタ!B:B,0))),"")</f>
        <v/>
      </c>
      <c r="AJ294" s="15" t="str">
        <f>_xlfn.IFNA(IF(INDEX(製品仕様マスタ!AK:AK,MATCH(W2Pデータ貼り付け!T294,製品仕様マスタ!B:B,0))=0,"",INDEX(製品仕様マスタ!AK:AK,MATCH(W2Pデータ貼り付け!T294,製品仕様マスタ!B:B,0))),"")</f>
        <v/>
      </c>
      <c r="AK294" s="198" t="str">
        <f>_xlfn.IFNA(IF(INDEX(製品仕様マスタ!AY:AY,MATCH(W2Pデータ貼り付け!T294,製品仕様マスタ!B:B,0))=0,"",IF(INDEX(製品仕様マスタ!AY:AY,MATCH(W2Pデータ貼り付け!T294,製品仕様マスタ!B:B,0)) &lt;&gt; "-",INDEX(製品仕様マスタ!AY:AY,MATCH(W2Pデータ貼り付け!T294,製品仕様マスタ!B:B,0)),INDEX(製品仕様マスタ!AZ$1:BZ$500,MATCH(W2Pデータ貼り付け!T294,製品仕様マスタ!B:B,0),MATCH(W2Pデータ貼り付け!V294,製品仕様マスタ!AZ$1:BZ$1,0)))),"")</f>
        <v/>
      </c>
      <c r="AL294" s="15" t="str">
        <f t="shared" si="4"/>
        <v/>
      </c>
      <c r="AM294" s="15" t="str">
        <f>IF(AF294&lt;&gt;"",IF(ISNUMBER(T294),COUNT(AM$2:AM293)+1,""),"")</f>
        <v/>
      </c>
    </row>
    <row r="295" spans="35:39" x14ac:dyDescent="0.15">
      <c r="AI295" s="15" t="str">
        <f>_xlfn.IFNA(IF(INDEX(製品仕様マスタ!C:C,MATCH(W2Pデータ貼り付け!T295,製品仕様マスタ!B:B,0))=0,"",INDEX(製品仕様マスタ!C:C,MATCH(W2Pデータ貼り付け!T295,製品仕様マスタ!B:B,0))),"")</f>
        <v/>
      </c>
      <c r="AJ295" s="15" t="str">
        <f>_xlfn.IFNA(IF(INDEX(製品仕様マスタ!AK:AK,MATCH(W2Pデータ貼り付け!T295,製品仕様マスタ!B:B,0))=0,"",INDEX(製品仕様マスタ!AK:AK,MATCH(W2Pデータ貼り付け!T295,製品仕様マスタ!B:B,0))),"")</f>
        <v/>
      </c>
      <c r="AK295" s="198" t="str">
        <f>_xlfn.IFNA(IF(INDEX(製品仕様マスタ!AY:AY,MATCH(W2Pデータ貼り付け!T295,製品仕様マスタ!B:B,0))=0,"",IF(INDEX(製品仕様マスタ!AY:AY,MATCH(W2Pデータ貼り付け!T295,製品仕様マスタ!B:B,0)) &lt;&gt; "-",INDEX(製品仕様マスタ!AY:AY,MATCH(W2Pデータ貼り付け!T295,製品仕様マスタ!B:B,0)),INDEX(製品仕様マスタ!AZ$1:BZ$500,MATCH(W2Pデータ貼り付け!T295,製品仕様マスタ!B:B,0),MATCH(W2Pデータ貼り付け!V295,製品仕様マスタ!AZ$1:BZ$1,0)))),"")</f>
        <v/>
      </c>
      <c r="AL295" s="15" t="str">
        <f t="shared" si="4"/>
        <v/>
      </c>
      <c r="AM295" s="15" t="str">
        <f>IF(AF295&lt;&gt;"",IF(ISNUMBER(T295),COUNT(AM$2:AM294)+1,""),"")</f>
        <v/>
      </c>
    </row>
    <row r="296" spans="35:39" x14ac:dyDescent="0.15">
      <c r="AI296" s="15" t="str">
        <f>_xlfn.IFNA(IF(INDEX(製品仕様マスタ!C:C,MATCH(W2Pデータ貼り付け!T296,製品仕様マスタ!B:B,0))=0,"",INDEX(製品仕様マスタ!C:C,MATCH(W2Pデータ貼り付け!T296,製品仕様マスタ!B:B,0))),"")</f>
        <v/>
      </c>
      <c r="AJ296" s="15" t="str">
        <f>_xlfn.IFNA(IF(INDEX(製品仕様マスタ!AK:AK,MATCH(W2Pデータ貼り付け!T296,製品仕様マスタ!B:B,0))=0,"",INDEX(製品仕様マスタ!AK:AK,MATCH(W2Pデータ貼り付け!T296,製品仕様マスタ!B:B,0))),"")</f>
        <v/>
      </c>
      <c r="AK296" s="198" t="str">
        <f>_xlfn.IFNA(IF(INDEX(製品仕様マスタ!AY:AY,MATCH(W2Pデータ貼り付け!T296,製品仕様マスタ!B:B,0))=0,"",IF(INDEX(製品仕様マスタ!AY:AY,MATCH(W2Pデータ貼り付け!T296,製品仕様マスタ!B:B,0)) &lt;&gt; "-",INDEX(製品仕様マスタ!AY:AY,MATCH(W2Pデータ貼り付け!T296,製品仕様マスタ!B:B,0)),INDEX(製品仕様マスタ!AZ$1:BZ$500,MATCH(W2Pデータ貼り付け!T296,製品仕様マスタ!B:B,0),MATCH(W2Pデータ貼り付け!V296,製品仕様マスタ!AZ$1:BZ$1,0)))),"")</f>
        <v/>
      </c>
      <c r="AL296" s="15" t="str">
        <f t="shared" si="4"/>
        <v/>
      </c>
      <c r="AM296" s="15" t="str">
        <f>IF(AF296&lt;&gt;"",IF(ISNUMBER(T296),COUNT(AM$2:AM295)+1,""),"")</f>
        <v/>
      </c>
    </row>
    <row r="297" spans="35:39" x14ac:dyDescent="0.15">
      <c r="AI297" s="15" t="str">
        <f>_xlfn.IFNA(IF(INDEX(製品仕様マスタ!C:C,MATCH(W2Pデータ貼り付け!T297,製品仕様マスタ!B:B,0))=0,"",INDEX(製品仕様マスタ!C:C,MATCH(W2Pデータ貼り付け!T297,製品仕様マスタ!B:B,0))),"")</f>
        <v/>
      </c>
      <c r="AJ297" s="15" t="str">
        <f>_xlfn.IFNA(IF(INDEX(製品仕様マスタ!AK:AK,MATCH(W2Pデータ貼り付け!T297,製品仕様マスタ!B:B,0))=0,"",INDEX(製品仕様マスタ!AK:AK,MATCH(W2Pデータ貼り付け!T297,製品仕様マスタ!B:B,0))),"")</f>
        <v/>
      </c>
      <c r="AK297" s="198" t="str">
        <f>_xlfn.IFNA(IF(INDEX(製品仕様マスタ!AY:AY,MATCH(W2Pデータ貼り付け!T297,製品仕様マスタ!B:B,0))=0,"",IF(INDEX(製品仕様マスタ!AY:AY,MATCH(W2Pデータ貼り付け!T297,製品仕様マスタ!B:B,0)) &lt;&gt; "-",INDEX(製品仕様マスタ!AY:AY,MATCH(W2Pデータ貼り付け!T297,製品仕様マスタ!B:B,0)),INDEX(製品仕様マスタ!AZ$1:BZ$500,MATCH(W2Pデータ貼り付け!T297,製品仕様マスタ!B:B,0),MATCH(W2Pデータ貼り付け!V297,製品仕様マスタ!AZ$1:BZ$1,0)))),"")</f>
        <v/>
      </c>
      <c r="AL297" s="15" t="str">
        <f t="shared" si="4"/>
        <v/>
      </c>
      <c r="AM297" s="15" t="str">
        <f>IF(AF297&lt;&gt;"",IF(ISNUMBER(T297),COUNT(AM$2:AM296)+1,""),"")</f>
        <v/>
      </c>
    </row>
    <row r="298" spans="35:39" x14ac:dyDescent="0.15">
      <c r="AI298" s="15" t="str">
        <f>_xlfn.IFNA(IF(INDEX(製品仕様マスタ!C:C,MATCH(W2Pデータ貼り付け!T298,製品仕様マスタ!B:B,0))=0,"",INDEX(製品仕様マスタ!C:C,MATCH(W2Pデータ貼り付け!T298,製品仕様マスタ!B:B,0))),"")</f>
        <v/>
      </c>
      <c r="AJ298" s="15" t="str">
        <f>_xlfn.IFNA(IF(INDEX(製品仕様マスタ!AK:AK,MATCH(W2Pデータ貼り付け!T298,製品仕様マスタ!B:B,0))=0,"",INDEX(製品仕様マスタ!AK:AK,MATCH(W2Pデータ貼り付け!T298,製品仕様マスタ!B:B,0))),"")</f>
        <v/>
      </c>
      <c r="AK298" s="198" t="str">
        <f>_xlfn.IFNA(IF(INDEX(製品仕様マスタ!AY:AY,MATCH(W2Pデータ貼り付け!T298,製品仕様マスタ!B:B,0))=0,"",IF(INDEX(製品仕様マスタ!AY:AY,MATCH(W2Pデータ貼り付け!T298,製品仕様マスタ!B:B,0)) &lt;&gt; "-",INDEX(製品仕様マスタ!AY:AY,MATCH(W2Pデータ貼り付け!T298,製品仕様マスタ!B:B,0)),INDEX(製品仕様マスタ!AZ$1:BZ$500,MATCH(W2Pデータ貼り付け!T298,製品仕様マスタ!B:B,0),MATCH(W2Pデータ貼り付け!V298,製品仕様マスタ!AZ$1:BZ$1,0)))),"")</f>
        <v/>
      </c>
      <c r="AL298" s="15" t="str">
        <f t="shared" si="4"/>
        <v/>
      </c>
      <c r="AM298" s="15" t="str">
        <f>IF(AF298&lt;&gt;"",IF(ISNUMBER(T298),COUNT(AM$2:AM297)+1,""),"")</f>
        <v/>
      </c>
    </row>
    <row r="299" spans="35:39" x14ac:dyDescent="0.15">
      <c r="AI299" s="15" t="str">
        <f>_xlfn.IFNA(IF(INDEX(製品仕様マスタ!C:C,MATCH(W2Pデータ貼り付け!T299,製品仕様マスタ!B:B,0))=0,"",INDEX(製品仕様マスタ!C:C,MATCH(W2Pデータ貼り付け!T299,製品仕様マスタ!B:B,0))),"")</f>
        <v/>
      </c>
      <c r="AJ299" s="15" t="str">
        <f>_xlfn.IFNA(IF(INDEX(製品仕様マスタ!AK:AK,MATCH(W2Pデータ貼り付け!T299,製品仕様マスタ!B:B,0))=0,"",INDEX(製品仕様マスタ!AK:AK,MATCH(W2Pデータ貼り付け!T299,製品仕様マスタ!B:B,0))),"")</f>
        <v/>
      </c>
      <c r="AK299" s="198" t="str">
        <f>_xlfn.IFNA(IF(INDEX(製品仕様マスタ!AY:AY,MATCH(W2Pデータ貼り付け!T299,製品仕様マスタ!B:B,0))=0,"",IF(INDEX(製品仕様マスタ!AY:AY,MATCH(W2Pデータ貼り付け!T299,製品仕様マスタ!B:B,0)) &lt;&gt; "-",INDEX(製品仕様マスタ!AY:AY,MATCH(W2Pデータ貼り付け!T299,製品仕様マスタ!B:B,0)),INDEX(製品仕様マスタ!AZ$1:BZ$500,MATCH(W2Pデータ貼り付け!T299,製品仕様マスタ!B:B,0),MATCH(W2Pデータ貼り付け!V299,製品仕様マスタ!AZ$1:BZ$1,0)))),"")</f>
        <v/>
      </c>
      <c r="AL299" s="15" t="str">
        <f t="shared" si="4"/>
        <v/>
      </c>
      <c r="AM299" s="15" t="str">
        <f>IF(AF299&lt;&gt;"",IF(ISNUMBER(T299),COUNT(AM$2:AM298)+1,""),"")</f>
        <v/>
      </c>
    </row>
    <row r="300" spans="35:39" x14ac:dyDescent="0.15">
      <c r="AI300" s="15" t="str">
        <f>_xlfn.IFNA(IF(INDEX(製品仕様マスタ!C:C,MATCH(W2Pデータ貼り付け!T300,製品仕様マスタ!B:B,0))=0,"",INDEX(製品仕様マスタ!C:C,MATCH(W2Pデータ貼り付け!T300,製品仕様マスタ!B:B,0))),"")</f>
        <v/>
      </c>
      <c r="AJ300" s="15" t="str">
        <f>_xlfn.IFNA(IF(INDEX(製品仕様マスタ!AK:AK,MATCH(W2Pデータ貼り付け!T300,製品仕様マスタ!B:B,0))=0,"",INDEX(製品仕様マスタ!AK:AK,MATCH(W2Pデータ貼り付け!T300,製品仕様マスタ!B:B,0))),"")</f>
        <v/>
      </c>
      <c r="AK300" s="198" t="str">
        <f>_xlfn.IFNA(IF(INDEX(製品仕様マスタ!AY:AY,MATCH(W2Pデータ貼り付け!T300,製品仕様マスタ!B:B,0))=0,"",IF(INDEX(製品仕様マスタ!AY:AY,MATCH(W2Pデータ貼り付け!T300,製品仕様マスタ!B:B,0)) &lt;&gt; "-",INDEX(製品仕様マスタ!AY:AY,MATCH(W2Pデータ貼り付け!T300,製品仕様マスタ!B:B,0)),INDEX(製品仕様マスタ!AZ$1:BZ$500,MATCH(W2Pデータ貼り付け!T300,製品仕様マスタ!B:B,0),MATCH(W2Pデータ貼り付け!V300,製品仕様マスタ!AZ$1:BZ$1,0)))),"")</f>
        <v/>
      </c>
      <c r="AL300" s="15" t="str">
        <f t="shared" si="4"/>
        <v/>
      </c>
      <c r="AM300" s="15" t="str">
        <f>IF(AF300&lt;&gt;"",IF(ISNUMBER(T300),COUNT(AM$2:AM299)+1,""),"")</f>
        <v/>
      </c>
    </row>
    <row r="301" spans="35:39" x14ac:dyDescent="0.15">
      <c r="AI301" s="15" t="str">
        <f>_xlfn.IFNA(IF(INDEX(製品仕様マスタ!C:C,MATCH(W2Pデータ貼り付け!T301,製品仕様マスタ!B:B,0))=0,"",INDEX(製品仕様マスタ!C:C,MATCH(W2Pデータ貼り付け!T301,製品仕様マスタ!B:B,0))),"")</f>
        <v/>
      </c>
      <c r="AJ301" s="15" t="str">
        <f>_xlfn.IFNA(IF(INDEX(製品仕様マスタ!AK:AK,MATCH(W2Pデータ貼り付け!T301,製品仕様マスタ!B:B,0))=0,"",INDEX(製品仕様マスタ!AK:AK,MATCH(W2Pデータ貼り付け!T301,製品仕様マスタ!B:B,0))),"")</f>
        <v/>
      </c>
      <c r="AK301" s="198" t="str">
        <f>_xlfn.IFNA(IF(INDEX(製品仕様マスタ!AY:AY,MATCH(W2Pデータ貼り付け!T301,製品仕様マスタ!B:B,0))=0,"",IF(INDEX(製品仕様マスタ!AY:AY,MATCH(W2Pデータ貼り付け!T301,製品仕様マスタ!B:B,0)) &lt;&gt; "-",INDEX(製品仕様マスタ!AY:AY,MATCH(W2Pデータ貼り付け!T301,製品仕様マスタ!B:B,0)),INDEX(製品仕様マスタ!AZ$1:BZ$500,MATCH(W2Pデータ貼り付け!T301,製品仕様マスタ!B:B,0),MATCH(W2Pデータ貼り付け!V301,製品仕様マスタ!AZ$1:BZ$1,0)))),"")</f>
        <v/>
      </c>
      <c r="AL301" s="15" t="str">
        <f t="shared" si="4"/>
        <v/>
      </c>
      <c r="AM301" s="15" t="str">
        <f>IF(AF301&lt;&gt;"",IF(ISNUMBER(T301),COUNT(AM$2:AM300)+1,""),"")</f>
        <v/>
      </c>
    </row>
    <row r="302" spans="35:39" x14ac:dyDescent="0.15">
      <c r="AI302" s="15" t="str">
        <f>_xlfn.IFNA(IF(INDEX(製品仕様マスタ!C:C,MATCH(W2Pデータ貼り付け!T302,製品仕様マスタ!B:B,0))=0,"",INDEX(製品仕様マスタ!C:C,MATCH(W2Pデータ貼り付け!T302,製品仕様マスタ!B:B,0))),"")</f>
        <v/>
      </c>
      <c r="AJ302" s="15" t="str">
        <f>_xlfn.IFNA(IF(INDEX(製品仕様マスタ!AK:AK,MATCH(W2Pデータ貼り付け!T302,製品仕様マスタ!B:B,0))=0,"",INDEX(製品仕様マスタ!AK:AK,MATCH(W2Pデータ貼り付け!T302,製品仕様マスタ!B:B,0))),"")</f>
        <v/>
      </c>
      <c r="AK302" s="198" t="str">
        <f>_xlfn.IFNA(IF(INDEX(製品仕様マスタ!AY:AY,MATCH(W2Pデータ貼り付け!T302,製品仕様マスタ!B:B,0))=0,"",IF(INDEX(製品仕様マスタ!AY:AY,MATCH(W2Pデータ貼り付け!T302,製品仕様マスタ!B:B,0)) &lt;&gt; "-",INDEX(製品仕様マスタ!AY:AY,MATCH(W2Pデータ貼り付け!T302,製品仕様マスタ!B:B,0)),INDEX(製品仕様マスタ!AZ$1:BZ$500,MATCH(W2Pデータ貼り付け!T302,製品仕様マスタ!B:B,0),MATCH(W2Pデータ貼り付け!V302,製品仕様マスタ!AZ$1:BZ$1,0)))),"")</f>
        <v/>
      </c>
      <c r="AL302" s="15" t="str">
        <f t="shared" si="4"/>
        <v/>
      </c>
      <c r="AM302" s="15" t="str">
        <f>IF(AF302&lt;&gt;"",IF(ISNUMBER(T302),COUNT(AM$2:AM301)+1,""),"")</f>
        <v/>
      </c>
    </row>
    <row r="303" spans="35:39" x14ac:dyDescent="0.15">
      <c r="AI303" s="15" t="str">
        <f>_xlfn.IFNA(IF(INDEX(製品仕様マスタ!C:C,MATCH(W2Pデータ貼り付け!T303,製品仕様マスタ!B:B,0))=0,"",INDEX(製品仕様マスタ!C:C,MATCH(W2Pデータ貼り付け!T303,製品仕様マスタ!B:B,0))),"")</f>
        <v/>
      </c>
      <c r="AJ303" s="15" t="str">
        <f>_xlfn.IFNA(IF(INDEX(製品仕様マスタ!AK:AK,MATCH(W2Pデータ貼り付け!T303,製品仕様マスタ!B:B,0))=0,"",INDEX(製品仕様マスタ!AK:AK,MATCH(W2Pデータ貼り付け!T303,製品仕様マスタ!B:B,0))),"")</f>
        <v/>
      </c>
      <c r="AK303" s="198" t="str">
        <f>_xlfn.IFNA(IF(INDEX(製品仕様マスタ!AY:AY,MATCH(W2Pデータ貼り付け!T303,製品仕様マスタ!B:B,0))=0,"",IF(INDEX(製品仕様マスタ!AY:AY,MATCH(W2Pデータ貼り付け!T303,製品仕様マスタ!B:B,0)) &lt;&gt; "-",INDEX(製品仕様マスタ!AY:AY,MATCH(W2Pデータ貼り付け!T303,製品仕様マスタ!B:B,0)),INDEX(製品仕様マスタ!AZ$1:BZ$500,MATCH(W2Pデータ貼り付け!T303,製品仕様マスタ!B:B,0),MATCH(W2Pデータ貼り付け!V303,製品仕様マスタ!AZ$1:BZ$1,0)))),"")</f>
        <v/>
      </c>
      <c r="AL303" s="15" t="str">
        <f t="shared" si="4"/>
        <v/>
      </c>
      <c r="AM303" s="15" t="str">
        <f>IF(AF303&lt;&gt;"",IF(ISNUMBER(T303),COUNT(AM$2:AM302)+1,""),"")</f>
        <v/>
      </c>
    </row>
    <row r="304" spans="35:39" x14ac:dyDescent="0.15">
      <c r="AI304" s="15" t="str">
        <f>_xlfn.IFNA(IF(INDEX(製品仕様マスタ!C:C,MATCH(W2Pデータ貼り付け!T304,製品仕様マスタ!B:B,0))=0,"",INDEX(製品仕様マスタ!C:C,MATCH(W2Pデータ貼り付け!T304,製品仕様マスタ!B:B,0))),"")</f>
        <v/>
      </c>
      <c r="AJ304" s="15" t="str">
        <f>_xlfn.IFNA(IF(INDEX(製品仕様マスタ!AK:AK,MATCH(W2Pデータ貼り付け!T304,製品仕様マスタ!B:B,0))=0,"",INDEX(製品仕様マスタ!AK:AK,MATCH(W2Pデータ貼り付け!T304,製品仕様マスタ!B:B,0))),"")</f>
        <v/>
      </c>
      <c r="AK304" s="198" t="str">
        <f>_xlfn.IFNA(IF(INDEX(製品仕様マスタ!AY:AY,MATCH(W2Pデータ貼り付け!T304,製品仕様マスタ!B:B,0))=0,"",IF(INDEX(製品仕様マスタ!AY:AY,MATCH(W2Pデータ貼り付け!T304,製品仕様マスタ!B:B,0)) &lt;&gt; "-",INDEX(製品仕様マスタ!AY:AY,MATCH(W2Pデータ貼り付け!T304,製品仕様マスタ!B:B,0)),INDEX(製品仕様マスタ!AZ$1:BZ$500,MATCH(W2Pデータ貼り付け!T304,製品仕様マスタ!B:B,0),MATCH(W2Pデータ貼り付け!V304,製品仕様マスタ!AZ$1:BZ$1,0)))),"")</f>
        <v/>
      </c>
      <c r="AL304" s="15" t="str">
        <f t="shared" si="4"/>
        <v/>
      </c>
      <c r="AM304" s="15" t="str">
        <f>IF(AF304&lt;&gt;"",IF(ISNUMBER(T304),COUNT(AM$2:AM303)+1,""),"")</f>
        <v/>
      </c>
    </row>
    <row r="305" spans="35:39" x14ac:dyDescent="0.15">
      <c r="AI305" s="15" t="str">
        <f>_xlfn.IFNA(IF(INDEX(製品仕様マスタ!C:C,MATCH(W2Pデータ貼り付け!T305,製品仕様マスタ!B:B,0))=0,"",INDEX(製品仕様マスタ!C:C,MATCH(W2Pデータ貼り付け!T305,製品仕様マスタ!B:B,0))),"")</f>
        <v/>
      </c>
      <c r="AJ305" s="15" t="str">
        <f>_xlfn.IFNA(IF(INDEX(製品仕様マスタ!AK:AK,MATCH(W2Pデータ貼り付け!T305,製品仕様マスタ!B:B,0))=0,"",INDEX(製品仕様マスタ!AK:AK,MATCH(W2Pデータ貼り付け!T305,製品仕様マスタ!B:B,0))),"")</f>
        <v/>
      </c>
      <c r="AK305" s="198" t="str">
        <f>_xlfn.IFNA(IF(INDEX(製品仕様マスタ!AY:AY,MATCH(W2Pデータ貼り付け!T305,製品仕様マスタ!B:B,0))=0,"",IF(INDEX(製品仕様マスタ!AY:AY,MATCH(W2Pデータ貼り付け!T305,製品仕様マスタ!B:B,0)) &lt;&gt; "-",INDEX(製品仕様マスタ!AY:AY,MATCH(W2Pデータ貼り付け!T305,製品仕様マスタ!B:B,0)),INDEX(製品仕様マスタ!AZ$1:BZ$500,MATCH(W2Pデータ貼り付け!T305,製品仕様マスタ!B:B,0),MATCH(W2Pデータ貼り付け!V305,製品仕様マスタ!AZ$1:BZ$1,0)))),"")</f>
        <v/>
      </c>
      <c r="AL305" s="15" t="str">
        <f t="shared" si="4"/>
        <v/>
      </c>
      <c r="AM305" s="15" t="str">
        <f>IF(AF305&lt;&gt;"",IF(ISNUMBER(T305),COUNT(AM$2:AM304)+1,""),"")</f>
        <v/>
      </c>
    </row>
    <row r="306" spans="35:39" x14ac:dyDescent="0.15">
      <c r="AI306" s="15" t="str">
        <f>_xlfn.IFNA(IF(INDEX(製品仕様マスタ!C:C,MATCH(W2Pデータ貼り付け!T306,製品仕様マスタ!B:B,0))=0,"",INDEX(製品仕様マスタ!C:C,MATCH(W2Pデータ貼り付け!T306,製品仕様マスタ!B:B,0))),"")</f>
        <v/>
      </c>
      <c r="AJ306" s="15" t="str">
        <f>_xlfn.IFNA(IF(INDEX(製品仕様マスタ!AK:AK,MATCH(W2Pデータ貼り付け!T306,製品仕様マスタ!B:B,0))=0,"",INDEX(製品仕様マスタ!AK:AK,MATCH(W2Pデータ貼り付け!T306,製品仕様マスタ!B:B,0))),"")</f>
        <v/>
      </c>
      <c r="AK306" s="198" t="str">
        <f>_xlfn.IFNA(IF(INDEX(製品仕様マスタ!AY:AY,MATCH(W2Pデータ貼り付け!T306,製品仕様マスタ!B:B,0))=0,"",IF(INDEX(製品仕様マスタ!AY:AY,MATCH(W2Pデータ貼り付け!T306,製品仕様マスタ!B:B,0)) &lt;&gt; "-",INDEX(製品仕様マスタ!AY:AY,MATCH(W2Pデータ貼り付け!T306,製品仕様マスタ!B:B,0)),INDEX(製品仕様マスタ!AZ$1:BZ$500,MATCH(W2Pデータ貼り付け!T306,製品仕様マスタ!B:B,0),MATCH(W2Pデータ貼り付け!V306,製品仕様マスタ!AZ$1:BZ$1,0)))),"")</f>
        <v/>
      </c>
      <c r="AL306" s="15" t="str">
        <f t="shared" si="4"/>
        <v/>
      </c>
      <c r="AM306" s="15" t="str">
        <f>IF(AF306&lt;&gt;"",IF(ISNUMBER(T306),COUNT(AM$2:AM305)+1,""),"")</f>
        <v/>
      </c>
    </row>
    <row r="307" spans="35:39" x14ac:dyDescent="0.15">
      <c r="AI307" s="15" t="str">
        <f>_xlfn.IFNA(IF(INDEX(製品仕様マスタ!C:C,MATCH(W2Pデータ貼り付け!T307,製品仕様マスタ!B:B,0))=0,"",INDEX(製品仕様マスタ!C:C,MATCH(W2Pデータ貼り付け!T307,製品仕様マスタ!B:B,0))),"")</f>
        <v/>
      </c>
      <c r="AJ307" s="15" t="str">
        <f>_xlfn.IFNA(IF(INDEX(製品仕様マスタ!AK:AK,MATCH(W2Pデータ貼り付け!T307,製品仕様マスタ!B:B,0))=0,"",INDEX(製品仕様マスタ!AK:AK,MATCH(W2Pデータ貼り付け!T307,製品仕様マスタ!B:B,0))),"")</f>
        <v/>
      </c>
      <c r="AK307" s="198" t="str">
        <f>_xlfn.IFNA(IF(INDEX(製品仕様マスタ!AY:AY,MATCH(W2Pデータ貼り付け!T307,製品仕様マスタ!B:B,0))=0,"",IF(INDEX(製品仕様マスタ!AY:AY,MATCH(W2Pデータ貼り付け!T307,製品仕様マスタ!B:B,0)) &lt;&gt; "-",INDEX(製品仕様マスタ!AY:AY,MATCH(W2Pデータ貼り付け!T307,製品仕様マスタ!B:B,0)),INDEX(製品仕様マスタ!AZ$1:BZ$500,MATCH(W2Pデータ貼り付け!T307,製品仕様マスタ!B:B,0),MATCH(W2Pデータ貼り付け!V307,製品仕様マスタ!AZ$1:BZ$1,0)))),"")</f>
        <v/>
      </c>
      <c r="AL307" s="15" t="str">
        <f t="shared" si="4"/>
        <v/>
      </c>
      <c r="AM307" s="15" t="str">
        <f>IF(AF307&lt;&gt;"",IF(ISNUMBER(T307),COUNT(AM$2:AM306)+1,""),"")</f>
        <v/>
      </c>
    </row>
    <row r="308" spans="35:39" x14ac:dyDescent="0.15">
      <c r="AI308" s="15" t="str">
        <f>_xlfn.IFNA(IF(INDEX(製品仕様マスタ!C:C,MATCH(W2Pデータ貼り付け!T308,製品仕様マスタ!B:B,0))=0,"",INDEX(製品仕様マスタ!C:C,MATCH(W2Pデータ貼り付け!T308,製品仕様マスタ!B:B,0))),"")</f>
        <v/>
      </c>
      <c r="AJ308" s="15" t="str">
        <f>_xlfn.IFNA(IF(INDEX(製品仕様マスタ!AK:AK,MATCH(W2Pデータ貼り付け!T308,製品仕様マスタ!B:B,0))=0,"",INDEX(製品仕様マスタ!AK:AK,MATCH(W2Pデータ貼り付け!T308,製品仕様マスタ!B:B,0))),"")</f>
        <v/>
      </c>
      <c r="AK308" s="198" t="str">
        <f>_xlfn.IFNA(IF(INDEX(製品仕様マスタ!AY:AY,MATCH(W2Pデータ貼り付け!T308,製品仕様マスタ!B:B,0))=0,"",IF(INDEX(製品仕様マスタ!AY:AY,MATCH(W2Pデータ貼り付け!T308,製品仕様マスタ!B:B,0)) &lt;&gt; "-",INDEX(製品仕様マスタ!AY:AY,MATCH(W2Pデータ貼り付け!T308,製品仕様マスタ!B:B,0)),INDEX(製品仕様マスタ!AZ$1:BZ$500,MATCH(W2Pデータ貼り付け!T308,製品仕様マスタ!B:B,0),MATCH(W2Pデータ貼り付け!V308,製品仕様マスタ!AZ$1:BZ$1,0)))),"")</f>
        <v/>
      </c>
      <c r="AL308" s="15" t="str">
        <f t="shared" si="4"/>
        <v/>
      </c>
      <c r="AM308" s="15" t="str">
        <f>IF(AF308&lt;&gt;"",IF(ISNUMBER(T308),COUNT(AM$2:AM307)+1,""),"")</f>
        <v/>
      </c>
    </row>
    <row r="309" spans="35:39" x14ac:dyDescent="0.15">
      <c r="AI309" s="15" t="str">
        <f>_xlfn.IFNA(IF(INDEX(製品仕様マスタ!C:C,MATCH(W2Pデータ貼り付け!T309,製品仕様マスタ!B:B,0))=0,"",INDEX(製品仕様マスタ!C:C,MATCH(W2Pデータ貼り付け!T309,製品仕様マスタ!B:B,0))),"")</f>
        <v/>
      </c>
      <c r="AJ309" s="15" t="str">
        <f>_xlfn.IFNA(IF(INDEX(製品仕様マスタ!AK:AK,MATCH(W2Pデータ貼り付け!T309,製品仕様マスタ!B:B,0))=0,"",INDEX(製品仕様マスタ!AK:AK,MATCH(W2Pデータ貼り付け!T309,製品仕様マスタ!B:B,0))),"")</f>
        <v/>
      </c>
      <c r="AK309" s="198" t="str">
        <f>_xlfn.IFNA(IF(INDEX(製品仕様マスタ!AY:AY,MATCH(W2Pデータ貼り付け!T309,製品仕様マスタ!B:B,0))=0,"",IF(INDEX(製品仕様マスタ!AY:AY,MATCH(W2Pデータ貼り付け!T309,製品仕様マスタ!B:B,0)) &lt;&gt; "-",INDEX(製品仕様マスタ!AY:AY,MATCH(W2Pデータ貼り付け!T309,製品仕様マスタ!B:B,0)),INDEX(製品仕様マスタ!AZ$1:BZ$500,MATCH(W2Pデータ貼り付け!T309,製品仕様マスタ!B:B,0),MATCH(W2Pデータ貼り付け!V309,製品仕様マスタ!AZ$1:BZ$1,0)))),"")</f>
        <v/>
      </c>
      <c r="AL309" s="15" t="str">
        <f t="shared" si="4"/>
        <v/>
      </c>
      <c r="AM309" s="15" t="str">
        <f>IF(AF309&lt;&gt;"",IF(ISNUMBER(T309),COUNT(AM$2:AM308)+1,""),"")</f>
        <v/>
      </c>
    </row>
    <row r="310" spans="35:39" x14ac:dyDescent="0.15">
      <c r="AI310" s="15" t="str">
        <f>_xlfn.IFNA(IF(INDEX(製品仕様マスタ!C:C,MATCH(W2Pデータ貼り付け!T310,製品仕様マスタ!B:B,0))=0,"",INDEX(製品仕様マスタ!C:C,MATCH(W2Pデータ貼り付け!T310,製品仕様マスタ!B:B,0))),"")</f>
        <v/>
      </c>
      <c r="AJ310" s="15" t="str">
        <f>_xlfn.IFNA(IF(INDEX(製品仕様マスタ!AK:AK,MATCH(W2Pデータ貼り付け!T310,製品仕様マスタ!B:B,0))=0,"",INDEX(製品仕様マスタ!AK:AK,MATCH(W2Pデータ貼り付け!T310,製品仕様マスタ!B:B,0))),"")</f>
        <v/>
      </c>
      <c r="AK310" s="198" t="str">
        <f>_xlfn.IFNA(IF(INDEX(製品仕様マスタ!AY:AY,MATCH(W2Pデータ貼り付け!T310,製品仕様マスタ!B:B,0))=0,"",IF(INDEX(製品仕様マスタ!AY:AY,MATCH(W2Pデータ貼り付け!T310,製品仕様マスタ!B:B,0)) &lt;&gt; "-",INDEX(製品仕様マスタ!AY:AY,MATCH(W2Pデータ貼り付け!T310,製品仕様マスタ!B:B,0)),INDEX(製品仕様マスタ!AZ$1:BZ$500,MATCH(W2Pデータ貼り付け!T310,製品仕様マスタ!B:B,0),MATCH(W2Pデータ貼り付け!V310,製品仕様マスタ!AZ$1:BZ$1,0)))),"")</f>
        <v/>
      </c>
      <c r="AL310" s="15" t="str">
        <f t="shared" si="4"/>
        <v/>
      </c>
      <c r="AM310" s="15" t="str">
        <f>IF(AF310&lt;&gt;"",IF(ISNUMBER(T310),COUNT(AM$2:AM309)+1,""),"")</f>
        <v/>
      </c>
    </row>
    <row r="311" spans="35:39" x14ac:dyDescent="0.15">
      <c r="AI311" s="15" t="str">
        <f>_xlfn.IFNA(IF(INDEX(製品仕様マスタ!C:C,MATCH(W2Pデータ貼り付け!T311,製品仕様マスタ!B:B,0))=0,"",INDEX(製品仕様マスタ!C:C,MATCH(W2Pデータ貼り付け!T311,製品仕様マスタ!B:B,0))),"")</f>
        <v/>
      </c>
      <c r="AJ311" s="15" t="str">
        <f>_xlfn.IFNA(IF(INDEX(製品仕様マスタ!AK:AK,MATCH(W2Pデータ貼り付け!T311,製品仕様マスタ!B:B,0))=0,"",INDEX(製品仕様マスタ!AK:AK,MATCH(W2Pデータ貼り付け!T311,製品仕様マスタ!B:B,0))),"")</f>
        <v/>
      </c>
      <c r="AK311" s="198" t="str">
        <f>_xlfn.IFNA(IF(INDEX(製品仕様マスタ!AY:AY,MATCH(W2Pデータ貼り付け!T311,製品仕様マスタ!B:B,0))=0,"",IF(INDEX(製品仕様マスタ!AY:AY,MATCH(W2Pデータ貼り付け!T311,製品仕様マスタ!B:B,0)) &lt;&gt; "-",INDEX(製品仕様マスタ!AY:AY,MATCH(W2Pデータ貼り付け!T311,製品仕様マスタ!B:B,0)),INDEX(製品仕様マスタ!AZ$1:BZ$500,MATCH(W2Pデータ貼り付け!T311,製品仕様マスタ!B:B,0),MATCH(W2Pデータ貼り付け!V311,製品仕様マスタ!AZ$1:BZ$1,0)))),"")</f>
        <v/>
      </c>
      <c r="AL311" s="15" t="str">
        <f t="shared" si="4"/>
        <v/>
      </c>
      <c r="AM311" s="15" t="str">
        <f>IF(AF311&lt;&gt;"",IF(ISNUMBER(T311),COUNT(AM$2:AM310)+1,""),"")</f>
        <v/>
      </c>
    </row>
    <row r="312" spans="35:39" x14ac:dyDescent="0.15">
      <c r="AI312" s="15" t="str">
        <f>_xlfn.IFNA(IF(INDEX(製品仕様マスタ!C:C,MATCH(W2Pデータ貼り付け!T312,製品仕様マスタ!B:B,0))=0,"",INDEX(製品仕様マスタ!C:C,MATCH(W2Pデータ貼り付け!T312,製品仕様マスタ!B:B,0))),"")</f>
        <v/>
      </c>
      <c r="AJ312" s="15" t="str">
        <f>_xlfn.IFNA(IF(INDEX(製品仕様マスタ!AK:AK,MATCH(W2Pデータ貼り付け!T312,製品仕様マスタ!B:B,0))=0,"",INDEX(製品仕様マスタ!AK:AK,MATCH(W2Pデータ貼り付け!T312,製品仕様マスタ!B:B,0))),"")</f>
        <v/>
      </c>
      <c r="AK312" s="198" t="str">
        <f>_xlfn.IFNA(IF(INDEX(製品仕様マスタ!AY:AY,MATCH(W2Pデータ貼り付け!T312,製品仕様マスタ!B:B,0))=0,"",IF(INDEX(製品仕様マスタ!AY:AY,MATCH(W2Pデータ貼り付け!T312,製品仕様マスタ!B:B,0)) &lt;&gt; "-",INDEX(製品仕様マスタ!AY:AY,MATCH(W2Pデータ貼り付け!T312,製品仕様マスタ!B:B,0)),INDEX(製品仕様マスタ!AZ$1:BZ$500,MATCH(W2Pデータ貼り付け!T312,製品仕様マスタ!B:B,0),MATCH(W2Pデータ貼り付け!V312,製品仕様マスタ!AZ$1:BZ$1,0)))),"")</f>
        <v/>
      </c>
      <c r="AL312" s="15" t="str">
        <f t="shared" si="4"/>
        <v/>
      </c>
      <c r="AM312" s="15" t="str">
        <f>IF(AF312&lt;&gt;"",IF(ISNUMBER(T312),COUNT(AM$2:AM311)+1,""),"")</f>
        <v/>
      </c>
    </row>
    <row r="313" spans="35:39" x14ac:dyDescent="0.15">
      <c r="AI313" s="15" t="str">
        <f>_xlfn.IFNA(IF(INDEX(製品仕様マスタ!C:C,MATCH(W2Pデータ貼り付け!T313,製品仕様マスタ!B:B,0))=0,"",INDEX(製品仕様マスタ!C:C,MATCH(W2Pデータ貼り付け!T313,製品仕様マスタ!B:B,0))),"")</f>
        <v/>
      </c>
      <c r="AJ313" s="15" t="str">
        <f>_xlfn.IFNA(IF(INDEX(製品仕様マスタ!AK:AK,MATCH(W2Pデータ貼り付け!T313,製品仕様マスタ!B:B,0))=0,"",INDEX(製品仕様マスタ!AK:AK,MATCH(W2Pデータ貼り付け!T313,製品仕様マスタ!B:B,0))),"")</f>
        <v/>
      </c>
      <c r="AK313" s="198" t="str">
        <f>_xlfn.IFNA(IF(INDEX(製品仕様マスタ!AY:AY,MATCH(W2Pデータ貼り付け!T313,製品仕様マスタ!B:B,0))=0,"",IF(INDEX(製品仕様マスタ!AY:AY,MATCH(W2Pデータ貼り付け!T313,製品仕様マスタ!B:B,0)) &lt;&gt; "-",INDEX(製品仕様マスタ!AY:AY,MATCH(W2Pデータ貼り付け!T313,製品仕様マスタ!B:B,0)),INDEX(製品仕様マスタ!AZ$1:BZ$500,MATCH(W2Pデータ貼り付け!T313,製品仕様マスタ!B:B,0),MATCH(W2Pデータ貼り付け!V313,製品仕様マスタ!AZ$1:BZ$1,0)))),"")</f>
        <v/>
      </c>
      <c r="AL313" s="15" t="str">
        <f t="shared" si="4"/>
        <v/>
      </c>
      <c r="AM313" s="15" t="str">
        <f>IF(AF313&lt;&gt;"",IF(ISNUMBER(T313),COUNT(AM$2:AM312)+1,""),"")</f>
        <v/>
      </c>
    </row>
    <row r="314" spans="35:39" x14ac:dyDescent="0.15">
      <c r="AI314" s="15" t="str">
        <f>_xlfn.IFNA(IF(INDEX(製品仕様マスタ!C:C,MATCH(W2Pデータ貼り付け!T314,製品仕様マスタ!B:B,0))=0,"",INDEX(製品仕様マスタ!C:C,MATCH(W2Pデータ貼り付け!T314,製品仕様マスタ!B:B,0))),"")</f>
        <v/>
      </c>
      <c r="AJ314" s="15" t="str">
        <f>_xlfn.IFNA(IF(INDEX(製品仕様マスタ!AK:AK,MATCH(W2Pデータ貼り付け!T314,製品仕様マスタ!B:B,0))=0,"",INDEX(製品仕様マスタ!AK:AK,MATCH(W2Pデータ貼り付け!T314,製品仕様マスタ!B:B,0))),"")</f>
        <v/>
      </c>
      <c r="AK314" s="198" t="str">
        <f>_xlfn.IFNA(IF(INDEX(製品仕様マスタ!AY:AY,MATCH(W2Pデータ貼り付け!T314,製品仕様マスタ!B:B,0))=0,"",IF(INDEX(製品仕様マスタ!AY:AY,MATCH(W2Pデータ貼り付け!T314,製品仕様マスタ!B:B,0)) &lt;&gt; "-",INDEX(製品仕様マスタ!AY:AY,MATCH(W2Pデータ貼り付け!T314,製品仕様マスタ!B:B,0)),INDEX(製品仕様マスタ!AZ$1:BZ$500,MATCH(W2Pデータ貼り付け!T314,製品仕様マスタ!B:B,0),MATCH(W2Pデータ貼り付け!V314,製品仕様マスタ!AZ$1:BZ$1,0)))),"")</f>
        <v/>
      </c>
      <c r="AL314" s="15" t="str">
        <f t="shared" si="4"/>
        <v/>
      </c>
      <c r="AM314" s="15" t="str">
        <f>IF(AF314&lt;&gt;"",IF(ISNUMBER(T314),COUNT(AM$2:AM313)+1,""),"")</f>
        <v/>
      </c>
    </row>
    <row r="315" spans="35:39" x14ac:dyDescent="0.15">
      <c r="AI315" s="15" t="str">
        <f>_xlfn.IFNA(IF(INDEX(製品仕様マスタ!C:C,MATCH(W2Pデータ貼り付け!T315,製品仕様マスタ!B:B,0))=0,"",INDEX(製品仕様マスタ!C:C,MATCH(W2Pデータ貼り付け!T315,製品仕様マスタ!B:B,0))),"")</f>
        <v/>
      </c>
      <c r="AJ315" s="15" t="str">
        <f>_xlfn.IFNA(IF(INDEX(製品仕様マスタ!AK:AK,MATCH(W2Pデータ貼り付け!T315,製品仕様マスタ!B:B,0))=0,"",INDEX(製品仕様マスタ!AK:AK,MATCH(W2Pデータ貼り付け!T315,製品仕様マスタ!B:B,0))),"")</f>
        <v/>
      </c>
      <c r="AK315" s="198" t="str">
        <f>_xlfn.IFNA(IF(INDEX(製品仕様マスタ!AY:AY,MATCH(W2Pデータ貼り付け!T315,製品仕様マスタ!B:B,0))=0,"",IF(INDEX(製品仕様マスタ!AY:AY,MATCH(W2Pデータ貼り付け!T315,製品仕様マスタ!B:B,0)) &lt;&gt; "-",INDEX(製品仕様マスタ!AY:AY,MATCH(W2Pデータ貼り付け!T315,製品仕様マスタ!B:B,0)),INDEX(製品仕様マスタ!AZ$1:BZ$500,MATCH(W2Pデータ貼り付け!T315,製品仕様マスタ!B:B,0),MATCH(W2Pデータ貼り付け!V315,製品仕様マスタ!AZ$1:BZ$1,0)))),"")</f>
        <v/>
      </c>
      <c r="AL315" s="15" t="str">
        <f t="shared" si="4"/>
        <v/>
      </c>
      <c r="AM315" s="15" t="str">
        <f>IF(AF315&lt;&gt;"",IF(ISNUMBER(T315),COUNT(AM$2:AM314)+1,""),"")</f>
        <v/>
      </c>
    </row>
    <row r="316" spans="35:39" x14ac:dyDescent="0.15">
      <c r="AI316" s="15" t="str">
        <f>_xlfn.IFNA(IF(INDEX(製品仕様マスタ!C:C,MATCH(W2Pデータ貼り付け!T316,製品仕様マスタ!B:B,0))=0,"",INDEX(製品仕様マスタ!C:C,MATCH(W2Pデータ貼り付け!T316,製品仕様マスタ!B:B,0))),"")</f>
        <v/>
      </c>
      <c r="AJ316" s="15" t="str">
        <f>_xlfn.IFNA(IF(INDEX(製品仕様マスタ!AK:AK,MATCH(W2Pデータ貼り付け!T316,製品仕様マスタ!B:B,0))=0,"",INDEX(製品仕様マスタ!AK:AK,MATCH(W2Pデータ貼り付け!T316,製品仕様マスタ!B:B,0))),"")</f>
        <v/>
      </c>
      <c r="AK316" s="198" t="str">
        <f>_xlfn.IFNA(IF(INDEX(製品仕様マスタ!AY:AY,MATCH(W2Pデータ貼り付け!T316,製品仕様マスタ!B:B,0))=0,"",IF(INDEX(製品仕様マスタ!AY:AY,MATCH(W2Pデータ貼り付け!T316,製品仕様マスタ!B:B,0)) &lt;&gt; "-",INDEX(製品仕様マスタ!AY:AY,MATCH(W2Pデータ貼り付け!T316,製品仕様マスタ!B:B,0)),INDEX(製品仕様マスタ!AZ$1:BZ$500,MATCH(W2Pデータ貼り付け!T316,製品仕様マスタ!B:B,0),MATCH(W2Pデータ貼り付け!V316,製品仕様マスタ!AZ$1:BZ$1,0)))),"")</f>
        <v/>
      </c>
      <c r="AL316" s="15" t="str">
        <f t="shared" si="4"/>
        <v/>
      </c>
      <c r="AM316" s="15" t="str">
        <f>IF(AF316&lt;&gt;"",IF(ISNUMBER(T316),COUNT(AM$2:AM315)+1,""),"")</f>
        <v/>
      </c>
    </row>
    <row r="317" spans="35:39" x14ac:dyDescent="0.15">
      <c r="AI317" s="15" t="str">
        <f>_xlfn.IFNA(IF(INDEX(製品仕様マスタ!C:C,MATCH(W2Pデータ貼り付け!T317,製品仕様マスタ!B:B,0))=0,"",INDEX(製品仕様マスタ!C:C,MATCH(W2Pデータ貼り付け!T317,製品仕様マスタ!B:B,0))),"")</f>
        <v/>
      </c>
      <c r="AJ317" s="15" t="str">
        <f>_xlfn.IFNA(IF(INDEX(製品仕様マスタ!AK:AK,MATCH(W2Pデータ貼り付け!T317,製品仕様マスタ!B:B,0))=0,"",INDEX(製品仕様マスタ!AK:AK,MATCH(W2Pデータ貼り付け!T317,製品仕様マスタ!B:B,0))),"")</f>
        <v/>
      </c>
      <c r="AK317" s="198" t="str">
        <f>_xlfn.IFNA(IF(INDEX(製品仕様マスタ!AY:AY,MATCH(W2Pデータ貼り付け!T317,製品仕様マスタ!B:B,0))=0,"",IF(INDEX(製品仕様マスタ!AY:AY,MATCH(W2Pデータ貼り付け!T317,製品仕様マスタ!B:B,0)) &lt;&gt; "-",INDEX(製品仕様マスタ!AY:AY,MATCH(W2Pデータ貼り付け!T317,製品仕様マスタ!B:B,0)),INDEX(製品仕様マスタ!AZ$1:BZ$500,MATCH(W2Pデータ貼り付け!T317,製品仕様マスタ!B:B,0),MATCH(W2Pデータ貼り付け!V317,製品仕様マスタ!AZ$1:BZ$1,0)))),"")</f>
        <v/>
      </c>
      <c r="AL317" s="15" t="str">
        <f t="shared" si="4"/>
        <v/>
      </c>
      <c r="AM317" s="15" t="str">
        <f>IF(AF317&lt;&gt;"",IF(ISNUMBER(T317),COUNT(AM$2:AM316)+1,""),"")</f>
        <v/>
      </c>
    </row>
    <row r="318" spans="35:39" x14ac:dyDescent="0.15">
      <c r="AI318" s="15" t="str">
        <f>_xlfn.IFNA(IF(INDEX(製品仕様マスタ!C:C,MATCH(W2Pデータ貼り付け!T318,製品仕様マスタ!B:B,0))=0,"",INDEX(製品仕様マスタ!C:C,MATCH(W2Pデータ貼り付け!T318,製品仕様マスタ!B:B,0))),"")</f>
        <v/>
      </c>
      <c r="AJ318" s="15" t="str">
        <f>_xlfn.IFNA(IF(INDEX(製品仕様マスタ!AK:AK,MATCH(W2Pデータ貼り付け!T318,製品仕様マスタ!B:B,0))=0,"",INDEX(製品仕様マスタ!AK:AK,MATCH(W2Pデータ貼り付け!T318,製品仕様マスタ!B:B,0))),"")</f>
        <v/>
      </c>
      <c r="AK318" s="198" t="str">
        <f>_xlfn.IFNA(IF(INDEX(製品仕様マスタ!AY:AY,MATCH(W2Pデータ貼り付け!T318,製品仕様マスタ!B:B,0))=0,"",IF(INDEX(製品仕様マスタ!AY:AY,MATCH(W2Pデータ貼り付け!T318,製品仕様マスタ!B:B,0)) &lt;&gt; "-",INDEX(製品仕様マスタ!AY:AY,MATCH(W2Pデータ貼り付け!T318,製品仕様マスタ!B:B,0)),INDEX(製品仕様マスタ!AZ$1:BZ$500,MATCH(W2Pデータ貼り付け!T318,製品仕様マスタ!B:B,0),MATCH(W2Pデータ貼り付け!V318,製品仕様マスタ!AZ$1:BZ$1,0)))),"")</f>
        <v/>
      </c>
      <c r="AL318" s="15" t="str">
        <f t="shared" si="4"/>
        <v/>
      </c>
      <c r="AM318" s="15" t="str">
        <f>IF(AF318&lt;&gt;"",IF(ISNUMBER(T318),COUNT(AM$2:AM317)+1,""),"")</f>
        <v/>
      </c>
    </row>
    <row r="319" spans="35:39" x14ac:dyDescent="0.15">
      <c r="AI319" s="15" t="str">
        <f>_xlfn.IFNA(IF(INDEX(製品仕様マスタ!C:C,MATCH(W2Pデータ貼り付け!T319,製品仕様マスタ!B:B,0))=0,"",INDEX(製品仕様マスタ!C:C,MATCH(W2Pデータ貼り付け!T319,製品仕様マスタ!B:B,0))),"")</f>
        <v/>
      </c>
      <c r="AJ319" s="15" t="str">
        <f>_xlfn.IFNA(IF(INDEX(製品仕様マスタ!AK:AK,MATCH(W2Pデータ貼り付け!T319,製品仕様マスタ!B:B,0))=0,"",INDEX(製品仕様マスタ!AK:AK,MATCH(W2Pデータ貼り付け!T319,製品仕様マスタ!B:B,0))),"")</f>
        <v/>
      </c>
      <c r="AK319" s="198" t="str">
        <f>_xlfn.IFNA(IF(INDEX(製品仕様マスタ!AY:AY,MATCH(W2Pデータ貼り付け!T319,製品仕様マスタ!B:B,0))=0,"",IF(INDEX(製品仕様マスタ!AY:AY,MATCH(W2Pデータ貼り付け!T319,製品仕様マスタ!B:B,0)) &lt;&gt; "-",INDEX(製品仕様マスタ!AY:AY,MATCH(W2Pデータ貼り付け!T319,製品仕様マスタ!B:B,0)),INDEX(製品仕様マスタ!AZ$1:BZ$500,MATCH(W2Pデータ貼り付け!T319,製品仕様マスタ!B:B,0),MATCH(W2Pデータ貼り付け!V319,製品仕様マスタ!AZ$1:BZ$1,0)))),"")</f>
        <v/>
      </c>
      <c r="AL319" s="15" t="str">
        <f t="shared" si="4"/>
        <v/>
      </c>
      <c r="AM319" s="15" t="str">
        <f>IF(AF319&lt;&gt;"",IF(ISNUMBER(T319),COUNT(AM$2:AM318)+1,""),"")</f>
        <v/>
      </c>
    </row>
    <row r="320" spans="35:39" x14ac:dyDescent="0.15">
      <c r="AI320" s="15" t="str">
        <f>_xlfn.IFNA(IF(INDEX(製品仕様マスタ!C:C,MATCH(W2Pデータ貼り付け!T320,製品仕様マスタ!B:B,0))=0,"",INDEX(製品仕様マスタ!C:C,MATCH(W2Pデータ貼り付け!T320,製品仕様マスタ!B:B,0))),"")</f>
        <v/>
      </c>
      <c r="AJ320" s="15" t="str">
        <f>_xlfn.IFNA(IF(INDEX(製品仕様マスタ!AK:AK,MATCH(W2Pデータ貼り付け!T320,製品仕様マスタ!B:B,0))=0,"",INDEX(製品仕様マスタ!AK:AK,MATCH(W2Pデータ貼り付け!T320,製品仕様マスタ!B:B,0))),"")</f>
        <v/>
      </c>
      <c r="AK320" s="198" t="str">
        <f>_xlfn.IFNA(IF(INDEX(製品仕様マスタ!AY:AY,MATCH(W2Pデータ貼り付け!T320,製品仕様マスタ!B:B,0))=0,"",IF(INDEX(製品仕様マスタ!AY:AY,MATCH(W2Pデータ貼り付け!T320,製品仕様マスタ!B:B,0)) &lt;&gt; "-",INDEX(製品仕様マスタ!AY:AY,MATCH(W2Pデータ貼り付け!T320,製品仕様マスタ!B:B,0)),INDEX(製品仕様マスタ!AZ$1:BZ$500,MATCH(W2Pデータ貼り付け!T320,製品仕様マスタ!B:B,0),MATCH(W2Pデータ貼り付け!V320,製品仕様マスタ!AZ$1:BZ$1,0)))),"")</f>
        <v/>
      </c>
      <c r="AL320" s="15" t="str">
        <f t="shared" si="4"/>
        <v/>
      </c>
      <c r="AM320" s="15" t="str">
        <f>IF(AF320&lt;&gt;"",IF(ISNUMBER(T320),COUNT(AM$2:AM319)+1,""),"")</f>
        <v/>
      </c>
    </row>
    <row r="321" spans="35:39" x14ac:dyDescent="0.15">
      <c r="AI321" s="15" t="str">
        <f>_xlfn.IFNA(IF(INDEX(製品仕様マスタ!C:C,MATCH(W2Pデータ貼り付け!T321,製品仕様マスタ!B:B,0))=0,"",INDEX(製品仕様マスタ!C:C,MATCH(W2Pデータ貼り付け!T321,製品仕様マスタ!B:B,0))),"")</f>
        <v/>
      </c>
      <c r="AJ321" s="15" t="str">
        <f>_xlfn.IFNA(IF(INDEX(製品仕様マスタ!AK:AK,MATCH(W2Pデータ貼り付け!T321,製品仕様マスタ!B:B,0))=0,"",INDEX(製品仕様マスタ!AK:AK,MATCH(W2Pデータ貼り付け!T321,製品仕様マスタ!B:B,0))),"")</f>
        <v/>
      </c>
      <c r="AK321" s="198" t="str">
        <f>_xlfn.IFNA(IF(INDEX(製品仕様マスタ!AY:AY,MATCH(W2Pデータ貼り付け!T321,製品仕様マスタ!B:B,0))=0,"",IF(INDEX(製品仕様マスタ!AY:AY,MATCH(W2Pデータ貼り付け!T321,製品仕様マスタ!B:B,0)) &lt;&gt; "-",INDEX(製品仕様マスタ!AY:AY,MATCH(W2Pデータ貼り付け!T321,製品仕様マスタ!B:B,0)),INDEX(製品仕様マスタ!AZ$1:BZ$500,MATCH(W2Pデータ貼り付け!T321,製品仕様マスタ!B:B,0),MATCH(W2Pデータ貼り付け!V321,製品仕様マスタ!AZ$1:BZ$1,0)))),"")</f>
        <v/>
      </c>
      <c r="AL321" s="15" t="str">
        <f t="shared" si="4"/>
        <v/>
      </c>
      <c r="AM321" s="15" t="str">
        <f>IF(AF321&lt;&gt;"",IF(ISNUMBER(T321),COUNT(AM$2:AM320)+1,""),"")</f>
        <v/>
      </c>
    </row>
    <row r="322" spans="35:39" x14ac:dyDescent="0.15">
      <c r="AI322" s="15" t="str">
        <f>_xlfn.IFNA(IF(INDEX(製品仕様マスタ!C:C,MATCH(W2Pデータ貼り付け!T322,製品仕様マスタ!B:B,0))=0,"",INDEX(製品仕様マスタ!C:C,MATCH(W2Pデータ貼り付け!T322,製品仕様マスタ!B:B,0))),"")</f>
        <v/>
      </c>
      <c r="AJ322" s="15" t="str">
        <f>_xlfn.IFNA(IF(INDEX(製品仕様マスタ!AK:AK,MATCH(W2Pデータ貼り付け!T322,製品仕様マスタ!B:B,0))=0,"",INDEX(製品仕様マスタ!AK:AK,MATCH(W2Pデータ貼り付け!T322,製品仕様マスタ!B:B,0))),"")</f>
        <v/>
      </c>
      <c r="AK322" s="198" t="str">
        <f>_xlfn.IFNA(IF(INDEX(製品仕様マスタ!AY:AY,MATCH(W2Pデータ貼り付け!T322,製品仕様マスタ!B:B,0))=0,"",IF(INDEX(製品仕様マスタ!AY:AY,MATCH(W2Pデータ貼り付け!T322,製品仕様マスタ!B:B,0)) &lt;&gt; "-",INDEX(製品仕様マスタ!AY:AY,MATCH(W2Pデータ貼り付け!T322,製品仕様マスタ!B:B,0)),INDEX(製品仕様マスタ!AZ$1:BZ$500,MATCH(W2Pデータ貼り付け!T322,製品仕様マスタ!B:B,0),MATCH(W2Pデータ貼り付け!V322,製品仕様マスタ!AZ$1:BZ$1,0)))),"")</f>
        <v/>
      </c>
      <c r="AL322" s="15" t="str">
        <f t="shared" ref="AL322:AL352" si="5">IFERROR(V322*AK322,"")</f>
        <v/>
      </c>
      <c r="AM322" s="15" t="str">
        <f>IF(AF322&lt;&gt;"",IF(ISNUMBER(T322),COUNT(AM$2:AM321)+1,""),"")</f>
        <v/>
      </c>
    </row>
    <row r="323" spans="35:39" x14ac:dyDescent="0.15">
      <c r="AI323" s="15" t="str">
        <f>_xlfn.IFNA(IF(INDEX(製品仕様マスタ!C:C,MATCH(W2Pデータ貼り付け!T323,製品仕様マスタ!B:B,0))=0,"",INDEX(製品仕様マスタ!C:C,MATCH(W2Pデータ貼り付け!T323,製品仕様マスタ!B:B,0))),"")</f>
        <v/>
      </c>
      <c r="AJ323" s="15" t="str">
        <f>_xlfn.IFNA(IF(INDEX(製品仕様マスタ!AK:AK,MATCH(W2Pデータ貼り付け!T323,製品仕様マスタ!B:B,0))=0,"",INDEX(製品仕様マスタ!AK:AK,MATCH(W2Pデータ貼り付け!T323,製品仕様マスタ!B:B,0))),"")</f>
        <v/>
      </c>
      <c r="AK323" s="198" t="str">
        <f>_xlfn.IFNA(IF(INDEX(製品仕様マスタ!AY:AY,MATCH(W2Pデータ貼り付け!T323,製品仕様マスタ!B:B,0))=0,"",IF(INDEX(製品仕様マスタ!AY:AY,MATCH(W2Pデータ貼り付け!T323,製品仕様マスタ!B:B,0)) &lt;&gt; "-",INDEX(製品仕様マスタ!AY:AY,MATCH(W2Pデータ貼り付け!T323,製品仕様マスタ!B:B,0)),INDEX(製品仕様マスタ!AZ$1:BZ$500,MATCH(W2Pデータ貼り付け!T323,製品仕様マスタ!B:B,0),MATCH(W2Pデータ貼り付け!V323,製品仕様マスタ!AZ$1:BZ$1,0)))),"")</f>
        <v/>
      </c>
      <c r="AL323" s="15" t="str">
        <f t="shared" si="5"/>
        <v/>
      </c>
      <c r="AM323" s="15" t="str">
        <f>IF(AF323&lt;&gt;"",IF(ISNUMBER(T323),COUNT(AM$2:AM322)+1,""),"")</f>
        <v/>
      </c>
    </row>
    <row r="324" spans="35:39" x14ac:dyDescent="0.15">
      <c r="AI324" s="15" t="str">
        <f>_xlfn.IFNA(IF(INDEX(製品仕様マスタ!C:C,MATCH(W2Pデータ貼り付け!T324,製品仕様マスタ!B:B,0))=0,"",INDEX(製品仕様マスタ!C:C,MATCH(W2Pデータ貼り付け!T324,製品仕様マスタ!B:B,0))),"")</f>
        <v/>
      </c>
      <c r="AJ324" s="15" t="str">
        <f>_xlfn.IFNA(IF(INDEX(製品仕様マスタ!AK:AK,MATCH(W2Pデータ貼り付け!T324,製品仕様マスタ!B:B,0))=0,"",INDEX(製品仕様マスタ!AK:AK,MATCH(W2Pデータ貼り付け!T324,製品仕様マスタ!B:B,0))),"")</f>
        <v/>
      </c>
      <c r="AK324" s="198" t="str">
        <f>_xlfn.IFNA(IF(INDEX(製品仕様マスタ!AY:AY,MATCH(W2Pデータ貼り付け!T324,製品仕様マスタ!B:B,0))=0,"",IF(INDEX(製品仕様マスタ!AY:AY,MATCH(W2Pデータ貼り付け!T324,製品仕様マスタ!B:B,0)) &lt;&gt; "-",INDEX(製品仕様マスタ!AY:AY,MATCH(W2Pデータ貼り付け!T324,製品仕様マスタ!B:B,0)),INDEX(製品仕様マスタ!AZ$1:BZ$500,MATCH(W2Pデータ貼り付け!T324,製品仕様マスタ!B:B,0),MATCH(W2Pデータ貼り付け!V324,製品仕様マスタ!AZ$1:BZ$1,0)))),"")</f>
        <v/>
      </c>
      <c r="AL324" s="15" t="str">
        <f t="shared" si="5"/>
        <v/>
      </c>
      <c r="AM324" s="15" t="str">
        <f>IF(AF324&lt;&gt;"",IF(ISNUMBER(T324),COUNT(AM$2:AM323)+1,""),"")</f>
        <v/>
      </c>
    </row>
    <row r="325" spans="35:39" x14ac:dyDescent="0.15">
      <c r="AI325" s="15" t="str">
        <f>_xlfn.IFNA(IF(INDEX(製品仕様マスタ!C:C,MATCH(W2Pデータ貼り付け!T325,製品仕様マスタ!B:B,0))=0,"",INDEX(製品仕様マスタ!C:C,MATCH(W2Pデータ貼り付け!T325,製品仕様マスタ!B:B,0))),"")</f>
        <v/>
      </c>
      <c r="AJ325" s="15" t="str">
        <f>_xlfn.IFNA(IF(INDEX(製品仕様マスタ!AK:AK,MATCH(W2Pデータ貼り付け!T325,製品仕様マスタ!B:B,0))=0,"",INDEX(製品仕様マスタ!AK:AK,MATCH(W2Pデータ貼り付け!T325,製品仕様マスタ!B:B,0))),"")</f>
        <v/>
      </c>
      <c r="AK325" s="198" t="str">
        <f>_xlfn.IFNA(IF(INDEX(製品仕様マスタ!AY:AY,MATCH(W2Pデータ貼り付け!T325,製品仕様マスタ!B:B,0))=0,"",IF(INDEX(製品仕様マスタ!AY:AY,MATCH(W2Pデータ貼り付け!T325,製品仕様マスタ!B:B,0)) &lt;&gt; "-",INDEX(製品仕様マスタ!AY:AY,MATCH(W2Pデータ貼り付け!T325,製品仕様マスタ!B:B,0)),INDEX(製品仕様マスタ!AZ$1:BZ$500,MATCH(W2Pデータ貼り付け!T325,製品仕様マスタ!B:B,0),MATCH(W2Pデータ貼り付け!V325,製品仕様マスタ!AZ$1:BZ$1,0)))),"")</f>
        <v/>
      </c>
      <c r="AL325" s="15" t="str">
        <f t="shared" si="5"/>
        <v/>
      </c>
      <c r="AM325" s="15" t="str">
        <f>IF(AF325&lt;&gt;"",IF(ISNUMBER(T325),COUNT(AM$2:AM324)+1,""),"")</f>
        <v/>
      </c>
    </row>
    <row r="326" spans="35:39" x14ac:dyDescent="0.15">
      <c r="AI326" s="15" t="str">
        <f>_xlfn.IFNA(IF(INDEX(製品仕様マスタ!C:C,MATCH(W2Pデータ貼り付け!T326,製品仕様マスタ!B:B,0))=0,"",INDEX(製品仕様マスタ!C:C,MATCH(W2Pデータ貼り付け!T326,製品仕様マスタ!B:B,0))),"")</f>
        <v/>
      </c>
      <c r="AJ326" s="15" t="str">
        <f>_xlfn.IFNA(IF(INDEX(製品仕様マスタ!AK:AK,MATCH(W2Pデータ貼り付け!T326,製品仕様マスタ!B:B,0))=0,"",INDEX(製品仕様マスタ!AK:AK,MATCH(W2Pデータ貼り付け!T326,製品仕様マスタ!B:B,0))),"")</f>
        <v/>
      </c>
      <c r="AK326" s="198" t="str">
        <f>_xlfn.IFNA(IF(INDEX(製品仕様マスタ!AY:AY,MATCH(W2Pデータ貼り付け!T326,製品仕様マスタ!B:B,0))=0,"",IF(INDEX(製品仕様マスタ!AY:AY,MATCH(W2Pデータ貼り付け!T326,製品仕様マスタ!B:B,0)) &lt;&gt; "-",INDEX(製品仕様マスタ!AY:AY,MATCH(W2Pデータ貼り付け!T326,製品仕様マスタ!B:B,0)),INDEX(製品仕様マスタ!AZ$1:BZ$500,MATCH(W2Pデータ貼り付け!T326,製品仕様マスタ!B:B,0),MATCH(W2Pデータ貼り付け!V326,製品仕様マスタ!AZ$1:BZ$1,0)))),"")</f>
        <v/>
      </c>
      <c r="AL326" s="15" t="str">
        <f t="shared" si="5"/>
        <v/>
      </c>
      <c r="AM326" s="15" t="str">
        <f>IF(AF326&lt;&gt;"",IF(ISNUMBER(T326),COUNT(AM$2:AM325)+1,""),"")</f>
        <v/>
      </c>
    </row>
    <row r="327" spans="35:39" x14ac:dyDescent="0.15">
      <c r="AI327" s="15" t="str">
        <f>_xlfn.IFNA(IF(INDEX(製品仕様マスタ!C:C,MATCH(W2Pデータ貼り付け!T327,製品仕様マスタ!B:B,0))=0,"",INDEX(製品仕様マスタ!C:C,MATCH(W2Pデータ貼り付け!T327,製品仕様マスタ!B:B,0))),"")</f>
        <v/>
      </c>
      <c r="AJ327" s="15" t="str">
        <f>_xlfn.IFNA(IF(INDEX(製品仕様マスタ!AK:AK,MATCH(W2Pデータ貼り付け!T327,製品仕様マスタ!B:B,0))=0,"",INDEX(製品仕様マスタ!AK:AK,MATCH(W2Pデータ貼り付け!T327,製品仕様マスタ!B:B,0))),"")</f>
        <v/>
      </c>
      <c r="AK327" s="198" t="str">
        <f>_xlfn.IFNA(IF(INDEX(製品仕様マスタ!AY:AY,MATCH(W2Pデータ貼り付け!T327,製品仕様マスタ!B:B,0))=0,"",IF(INDEX(製品仕様マスタ!AY:AY,MATCH(W2Pデータ貼り付け!T327,製品仕様マスタ!B:B,0)) &lt;&gt; "-",INDEX(製品仕様マスタ!AY:AY,MATCH(W2Pデータ貼り付け!T327,製品仕様マスタ!B:B,0)),INDEX(製品仕様マスタ!AZ$1:BZ$500,MATCH(W2Pデータ貼り付け!T327,製品仕様マスタ!B:B,0),MATCH(W2Pデータ貼り付け!V327,製品仕様マスタ!AZ$1:BZ$1,0)))),"")</f>
        <v/>
      </c>
      <c r="AL327" s="15" t="str">
        <f t="shared" si="5"/>
        <v/>
      </c>
      <c r="AM327" s="15" t="str">
        <f>IF(AF327&lt;&gt;"",IF(ISNUMBER(T327),COUNT(AM$2:AM326)+1,""),"")</f>
        <v/>
      </c>
    </row>
    <row r="328" spans="35:39" x14ac:dyDescent="0.15">
      <c r="AI328" s="15" t="str">
        <f>_xlfn.IFNA(IF(INDEX(製品仕様マスタ!C:C,MATCH(W2Pデータ貼り付け!T328,製品仕様マスタ!B:B,0))=0,"",INDEX(製品仕様マスタ!C:C,MATCH(W2Pデータ貼り付け!T328,製品仕様マスタ!B:B,0))),"")</f>
        <v/>
      </c>
      <c r="AJ328" s="15" t="str">
        <f>_xlfn.IFNA(IF(INDEX(製品仕様マスタ!AK:AK,MATCH(W2Pデータ貼り付け!T328,製品仕様マスタ!B:B,0))=0,"",INDEX(製品仕様マスタ!AK:AK,MATCH(W2Pデータ貼り付け!T328,製品仕様マスタ!B:B,0))),"")</f>
        <v/>
      </c>
      <c r="AK328" s="198" t="str">
        <f>_xlfn.IFNA(IF(INDEX(製品仕様マスタ!AY:AY,MATCH(W2Pデータ貼り付け!T328,製品仕様マスタ!B:B,0))=0,"",IF(INDEX(製品仕様マスタ!AY:AY,MATCH(W2Pデータ貼り付け!T328,製品仕様マスタ!B:B,0)) &lt;&gt; "-",INDEX(製品仕様マスタ!AY:AY,MATCH(W2Pデータ貼り付け!T328,製品仕様マスタ!B:B,0)),INDEX(製品仕様マスタ!AZ$1:BZ$500,MATCH(W2Pデータ貼り付け!T328,製品仕様マスタ!B:B,0),MATCH(W2Pデータ貼り付け!V328,製品仕様マスタ!AZ$1:BZ$1,0)))),"")</f>
        <v/>
      </c>
      <c r="AL328" s="15" t="str">
        <f t="shared" si="5"/>
        <v/>
      </c>
      <c r="AM328" s="15" t="str">
        <f>IF(AF328&lt;&gt;"",IF(ISNUMBER(T328),COUNT(AM$2:AM327)+1,""),"")</f>
        <v/>
      </c>
    </row>
    <row r="329" spans="35:39" x14ac:dyDescent="0.15">
      <c r="AI329" s="15" t="str">
        <f>_xlfn.IFNA(IF(INDEX(製品仕様マスタ!C:C,MATCH(W2Pデータ貼り付け!T329,製品仕様マスタ!B:B,0))=0,"",INDEX(製品仕様マスタ!C:C,MATCH(W2Pデータ貼り付け!T329,製品仕様マスタ!B:B,0))),"")</f>
        <v/>
      </c>
      <c r="AJ329" s="15" t="str">
        <f>_xlfn.IFNA(IF(INDEX(製品仕様マスタ!AK:AK,MATCH(W2Pデータ貼り付け!T329,製品仕様マスタ!B:B,0))=0,"",INDEX(製品仕様マスタ!AK:AK,MATCH(W2Pデータ貼り付け!T329,製品仕様マスタ!B:B,0))),"")</f>
        <v/>
      </c>
      <c r="AK329" s="198" t="str">
        <f>_xlfn.IFNA(IF(INDEX(製品仕様マスタ!AY:AY,MATCH(W2Pデータ貼り付け!T329,製品仕様マスタ!B:B,0))=0,"",IF(INDEX(製品仕様マスタ!AY:AY,MATCH(W2Pデータ貼り付け!T329,製品仕様マスタ!B:B,0)) &lt;&gt; "-",INDEX(製品仕様マスタ!AY:AY,MATCH(W2Pデータ貼り付け!T329,製品仕様マスタ!B:B,0)),INDEX(製品仕様マスタ!AZ$1:BZ$500,MATCH(W2Pデータ貼り付け!T329,製品仕様マスタ!B:B,0),MATCH(W2Pデータ貼り付け!V329,製品仕様マスタ!AZ$1:BZ$1,0)))),"")</f>
        <v/>
      </c>
      <c r="AL329" s="15" t="str">
        <f t="shared" si="5"/>
        <v/>
      </c>
      <c r="AM329" s="15" t="str">
        <f>IF(AF329&lt;&gt;"",IF(ISNUMBER(T329),COUNT(AM$2:AM328)+1,""),"")</f>
        <v/>
      </c>
    </row>
    <row r="330" spans="35:39" x14ac:dyDescent="0.15">
      <c r="AI330" s="15" t="str">
        <f>_xlfn.IFNA(IF(INDEX(製品仕様マスタ!C:C,MATCH(W2Pデータ貼り付け!T330,製品仕様マスタ!B:B,0))=0,"",INDEX(製品仕様マスタ!C:C,MATCH(W2Pデータ貼り付け!T330,製品仕様マスタ!B:B,0))),"")</f>
        <v/>
      </c>
      <c r="AJ330" s="15" t="str">
        <f>_xlfn.IFNA(IF(INDEX(製品仕様マスタ!AK:AK,MATCH(W2Pデータ貼り付け!T330,製品仕様マスタ!B:B,0))=0,"",INDEX(製品仕様マスタ!AK:AK,MATCH(W2Pデータ貼り付け!T330,製品仕様マスタ!B:B,0))),"")</f>
        <v/>
      </c>
      <c r="AK330" s="198" t="str">
        <f>_xlfn.IFNA(IF(INDEX(製品仕様マスタ!AY:AY,MATCH(W2Pデータ貼り付け!T330,製品仕様マスタ!B:B,0))=0,"",IF(INDEX(製品仕様マスタ!AY:AY,MATCH(W2Pデータ貼り付け!T330,製品仕様マスタ!B:B,0)) &lt;&gt; "-",INDEX(製品仕様マスタ!AY:AY,MATCH(W2Pデータ貼り付け!T330,製品仕様マスタ!B:B,0)),INDEX(製品仕様マスタ!AZ$1:BZ$500,MATCH(W2Pデータ貼り付け!T330,製品仕様マスタ!B:B,0),MATCH(W2Pデータ貼り付け!V330,製品仕様マスタ!AZ$1:BZ$1,0)))),"")</f>
        <v/>
      </c>
      <c r="AL330" s="15" t="str">
        <f t="shared" si="5"/>
        <v/>
      </c>
      <c r="AM330" s="15" t="str">
        <f>IF(AF330&lt;&gt;"",IF(ISNUMBER(T330),COUNT(AM$2:AM329)+1,""),"")</f>
        <v/>
      </c>
    </row>
    <row r="331" spans="35:39" x14ac:dyDescent="0.15">
      <c r="AI331" s="15" t="str">
        <f>_xlfn.IFNA(IF(INDEX(製品仕様マスタ!C:C,MATCH(W2Pデータ貼り付け!T331,製品仕様マスタ!B:B,0))=0,"",INDEX(製品仕様マスタ!C:C,MATCH(W2Pデータ貼り付け!T331,製品仕様マスタ!B:B,0))),"")</f>
        <v/>
      </c>
      <c r="AJ331" s="15" t="str">
        <f>_xlfn.IFNA(IF(INDEX(製品仕様マスタ!AK:AK,MATCH(W2Pデータ貼り付け!T331,製品仕様マスタ!B:B,0))=0,"",INDEX(製品仕様マスタ!AK:AK,MATCH(W2Pデータ貼り付け!T331,製品仕様マスタ!B:B,0))),"")</f>
        <v/>
      </c>
      <c r="AK331" s="198" t="str">
        <f>_xlfn.IFNA(IF(INDEX(製品仕様マスタ!AY:AY,MATCH(W2Pデータ貼り付け!T331,製品仕様マスタ!B:B,0))=0,"",IF(INDEX(製品仕様マスタ!AY:AY,MATCH(W2Pデータ貼り付け!T331,製品仕様マスタ!B:B,0)) &lt;&gt; "-",INDEX(製品仕様マスタ!AY:AY,MATCH(W2Pデータ貼り付け!T331,製品仕様マスタ!B:B,0)),INDEX(製品仕様マスタ!AZ$1:BZ$500,MATCH(W2Pデータ貼り付け!T331,製品仕様マスタ!B:B,0),MATCH(W2Pデータ貼り付け!V331,製品仕様マスタ!AZ$1:BZ$1,0)))),"")</f>
        <v/>
      </c>
      <c r="AL331" s="15" t="str">
        <f t="shared" si="5"/>
        <v/>
      </c>
      <c r="AM331" s="15" t="str">
        <f>IF(AF331&lt;&gt;"",IF(ISNUMBER(T331),COUNT(AM$2:AM330)+1,""),"")</f>
        <v/>
      </c>
    </row>
    <row r="332" spans="35:39" x14ac:dyDescent="0.15">
      <c r="AI332" s="15" t="str">
        <f>_xlfn.IFNA(IF(INDEX(製品仕様マスタ!C:C,MATCH(W2Pデータ貼り付け!T332,製品仕様マスタ!B:B,0))=0,"",INDEX(製品仕様マスタ!C:C,MATCH(W2Pデータ貼り付け!T332,製品仕様マスタ!B:B,0))),"")</f>
        <v/>
      </c>
      <c r="AJ332" s="15" t="str">
        <f>_xlfn.IFNA(IF(INDEX(製品仕様マスタ!AK:AK,MATCH(W2Pデータ貼り付け!T332,製品仕様マスタ!B:B,0))=0,"",INDEX(製品仕様マスタ!AK:AK,MATCH(W2Pデータ貼り付け!T332,製品仕様マスタ!B:B,0))),"")</f>
        <v/>
      </c>
      <c r="AK332" s="198" t="str">
        <f>_xlfn.IFNA(IF(INDEX(製品仕様マスタ!AY:AY,MATCH(W2Pデータ貼り付け!T332,製品仕様マスタ!B:B,0))=0,"",IF(INDEX(製品仕様マスタ!AY:AY,MATCH(W2Pデータ貼り付け!T332,製品仕様マスタ!B:B,0)) &lt;&gt; "-",INDEX(製品仕様マスタ!AY:AY,MATCH(W2Pデータ貼り付け!T332,製品仕様マスタ!B:B,0)),INDEX(製品仕様マスタ!AZ$1:BZ$500,MATCH(W2Pデータ貼り付け!T332,製品仕様マスタ!B:B,0),MATCH(W2Pデータ貼り付け!V332,製品仕様マスタ!AZ$1:BZ$1,0)))),"")</f>
        <v/>
      </c>
      <c r="AL332" s="15" t="str">
        <f t="shared" si="5"/>
        <v/>
      </c>
      <c r="AM332" s="15" t="str">
        <f>IF(AF332&lt;&gt;"",IF(ISNUMBER(T332),COUNT(AM$2:AM331)+1,""),"")</f>
        <v/>
      </c>
    </row>
    <row r="333" spans="35:39" x14ac:dyDescent="0.15">
      <c r="AI333" s="15" t="str">
        <f>_xlfn.IFNA(IF(INDEX(製品仕様マスタ!C:C,MATCH(W2Pデータ貼り付け!T333,製品仕様マスタ!B:B,0))=0,"",INDEX(製品仕様マスタ!C:C,MATCH(W2Pデータ貼り付け!T333,製品仕様マスタ!B:B,0))),"")</f>
        <v/>
      </c>
      <c r="AJ333" s="15" t="str">
        <f>_xlfn.IFNA(IF(INDEX(製品仕様マスタ!AK:AK,MATCH(W2Pデータ貼り付け!T333,製品仕様マスタ!B:B,0))=0,"",INDEX(製品仕様マスタ!AK:AK,MATCH(W2Pデータ貼り付け!T333,製品仕様マスタ!B:B,0))),"")</f>
        <v/>
      </c>
      <c r="AK333" s="198" t="str">
        <f>_xlfn.IFNA(IF(INDEX(製品仕様マスタ!AY:AY,MATCH(W2Pデータ貼り付け!T333,製品仕様マスタ!B:B,0))=0,"",IF(INDEX(製品仕様マスタ!AY:AY,MATCH(W2Pデータ貼り付け!T333,製品仕様マスタ!B:B,0)) &lt;&gt; "-",INDEX(製品仕様マスタ!AY:AY,MATCH(W2Pデータ貼り付け!T333,製品仕様マスタ!B:B,0)),INDEX(製品仕様マスタ!AZ$1:BZ$500,MATCH(W2Pデータ貼り付け!T333,製品仕様マスタ!B:B,0),MATCH(W2Pデータ貼り付け!V333,製品仕様マスタ!AZ$1:BZ$1,0)))),"")</f>
        <v/>
      </c>
      <c r="AL333" s="15" t="str">
        <f t="shared" si="5"/>
        <v/>
      </c>
      <c r="AM333" s="15" t="str">
        <f>IF(AF333&lt;&gt;"",IF(ISNUMBER(T333),COUNT(AM$2:AM332)+1,""),"")</f>
        <v/>
      </c>
    </row>
    <row r="334" spans="35:39" x14ac:dyDescent="0.15">
      <c r="AI334" s="15" t="str">
        <f>_xlfn.IFNA(IF(INDEX(製品仕様マスタ!C:C,MATCH(W2Pデータ貼り付け!T334,製品仕様マスタ!B:B,0))=0,"",INDEX(製品仕様マスタ!C:C,MATCH(W2Pデータ貼り付け!T334,製品仕様マスタ!B:B,0))),"")</f>
        <v/>
      </c>
      <c r="AJ334" s="15" t="str">
        <f>_xlfn.IFNA(IF(INDEX(製品仕様マスタ!AK:AK,MATCH(W2Pデータ貼り付け!T334,製品仕様マスタ!B:B,0))=0,"",INDEX(製品仕様マスタ!AK:AK,MATCH(W2Pデータ貼り付け!T334,製品仕様マスタ!B:B,0))),"")</f>
        <v/>
      </c>
      <c r="AK334" s="198" t="str">
        <f>_xlfn.IFNA(IF(INDEX(製品仕様マスタ!AY:AY,MATCH(W2Pデータ貼り付け!T334,製品仕様マスタ!B:B,0))=0,"",IF(INDEX(製品仕様マスタ!AY:AY,MATCH(W2Pデータ貼り付け!T334,製品仕様マスタ!B:B,0)) &lt;&gt; "-",INDEX(製品仕様マスタ!AY:AY,MATCH(W2Pデータ貼り付け!T334,製品仕様マスタ!B:B,0)),INDEX(製品仕様マスタ!AZ$1:BZ$500,MATCH(W2Pデータ貼り付け!T334,製品仕様マスタ!B:B,0),MATCH(W2Pデータ貼り付け!V334,製品仕様マスタ!AZ$1:BZ$1,0)))),"")</f>
        <v/>
      </c>
      <c r="AL334" s="15" t="str">
        <f t="shared" si="5"/>
        <v/>
      </c>
      <c r="AM334" s="15" t="str">
        <f>IF(AF334&lt;&gt;"",IF(ISNUMBER(T334),COUNT(AM$2:AM333)+1,""),"")</f>
        <v/>
      </c>
    </row>
    <row r="335" spans="35:39" x14ac:dyDescent="0.15">
      <c r="AI335" s="15" t="str">
        <f>_xlfn.IFNA(IF(INDEX(製品仕様マスタ!C:C,MATCH(W2Pデータ貼り付け!T335,製品仕様マスタ!B:B,0))=0,"",INDEX(製品仕様マスタ!C:C,MATCH(W2Pデータ貼り付け!T335,製品仕様マスタ!B:B,0))),"")</f>
        <v/>
      </c>
      <c r="AJ335" s="15" t="str">
        <f>_xlfn.IFNA(IF(INDEX(製品仕様マスタ!AK:AK,MATCH(W2Pデータ貼り付け!T335,製品仕様マスタ!B:B,0))=0,"",INDEX(製品仕様マスタ!AK:AK,MATCH(W2Pデータ貼り付け!T335,製品仕様マスタ!B:B,0))),"")</f>
        <v/>
      </c>
      <c r="AK335" s="198" t="str">
        <f>_xlfn.IFNA(IF(INDEX(製品仕様マスタ!AY:AY,MATCH(W2Pデータ貼り付け!T335,製品仕様マスタ!B:B,0))=0,"",IF(INDEX(製品仕様マスタ!AY:AY,MATCH(W2Pデータ貼り付け!T335,製品仕様マスタ!B:B,0)) &lt;&gt; "-",INDEX(製品仕様マスタ!AY:AY,MATCH(W2Pデータ貼り付け!T335,製品仕様マスタ!B:B,0)),INDEX(製品仕様マスタ!AZ$1:BZ$500,MATCH(W2Pデータ貼り付け!T335,製品仕様マスタ!B:B,0),MATCH(W2Pデータ貼り付け!V335,製品仕様マスタ!AZ$1:BZ$1,0)))),"")</f>
        <v/>
      </c>
      <c r="AL335" s="15" t="str">
        <f t="shared" si="5"/>
        <v/>
      </c>
      <c r="AM335" s="15" t="str">
        <f>IF(AF335&lt;&gt;"",IF(ISNUMBER(T335),COUNT(AM$2:AM334)+1,""),"")</f>
        <v/>
      </c>
    </row>
    <row r="336" spans="35:39" x14ac:dyDescent="0.15">
      <c r="AI336" s="15" t="str">
        <f>_xlfn.IFNA(IF(INDEX(製品仕様マスタ!C:C,MATCH(W2Pデータ貼り付け!T336,製品仕様マスタ!B:B,0))=0,"",INDEX(製品仕様マスタ!C:C,MATCH(W2Pデータ貼り付け!T336,製品仕様マスタ!B:B,0))),"")</f>
        <v/>
      </c>
      <c r="AJ336" s="15" t="str">
        <f>_xlfn.IFNA(IF(INDEX(製品仕様マスタ!AK:AK,MATCH(W2Pデータ貼り付け!T336,製品仕様マスタ!B:B,0))=0,"",INDEX(製品仕様マスタ!AK:AK,MATCH(W2Pデータ貼り付け!T336,製品仕様マスタ!B:B,0))),"")</f>
        <v/>
      </c>
      <c r="AK336" s="198" t="str">
        <f>_xlfn.IFNA(IF(INDEX(製品仕様マスタ!AY:AY,MATCH(W2Pデータ貼り付け!T336,製品仕様マスタ!B:B,0))=0,"",IF(INDEX(製品仕様マスタ!AY:AY,MATCH(W2Pデータ貼り付け!T336,製品仕様マスタ!B:B,0)) &lt;&gt; "-",INDEX(製品仕様マスタ!AY:AY,MATCH(W2Pデータ貼り付け!T336,製品仕様マスタ!B:B,0)),INDEX(製品仕様マスタ!AZ$1:BZ$500,MATCH(W2Pデータ貼り付け!T336,製品仕様マスタ!B:B,0),MATCH(W2Pデータ貼り付け!V336,製品仕様マスタ!AZ$1:BZ$1,0)))),"")</f>
        <v/>
      </c>
      <c r="AL336" s="15" t="str">
        <f t="shared" si="5"/>
        <v/>
      </c>
      <c r="AM336" s="15" t="str">
        <f>IF(AF336&lt;&gt;"",IF(ISNUMBER(T336),COUNT(AM$2:AM335)+1,""),"")</f>
        <v/>
      </c>
    </row>
    <row r="337" spans="35:39" x14ac:dyDescent="0.15">
      <c r="AI337" s="15" t="str">
        <f>_xlfn.IFNA(IF(INDEX(製品仕様マスタ!C:C,MATCH(W2Pデータ貼り付け!T337,製品仕様マスタ!B:B,0))=0,"",INDEX(製品仕様マスタ!C:C,MATCH(W2Pデータ貼り付け!T337,製品仕様マスタ!B:B,0))),"")</f>
        <v/>
      </c>
      <c r="AJ337" s="15" t="str">
        <f>_xlfn.IFNA(IF(INDEX(製品仕様マスタ!AK:AK,MATCH(W2Pデータ貼り付け!T337,製品仕様マスタ!B:B,0))=0,"",INDEX(製品仕様マスタ!AK:AK,MATCH(W2Pデータ貼り付け!T337,製品仕様マスタ!B:B,0))),"")</f>
        <v/>
      </c>
      <c r="AK337" s="198" t="str">
        <f>_xlfn.IFNA(IF(INDEX(製品仕様マスタ!AY:AY,MATCH(W2Pデータ貼り付け!T337,製品仕様マスタ!B:B,0))=0,"",IF(INDEX(製品仕様マスタ!AY:AY,MATCH(W2Pデータ貼り付け!T337,製品仕様マスタ!B:B,0)) &lt;&gt; "-",INDEX(製品仕様マスタ!AY:AY,MATCH(W2Pデータ貼り付け!T337,製品仕様マスタ!B:B,0)),INDEX(製品仕様マスタ!AZ$1:BZ$500,MATCH(W2Pデータ貼り付け!T337,製品仕様マスタ!B:B,0),MATCH(W2Pデータ貼り付け!V337,製品仕様マスタ!AZ$1:BZ$1,0)))),"")</f>
        <v/>
      </c>
      <c r="AL337" s="15" t="str">
        <f t="shared" si="5"/>
        <v/>
      </c>
      <c r="AM337" s="15" t="str">
        <f>IF(AF337&lt;&gt;"",IF(ISNUMBER(T337),COUNT(AM$2:AM336)+1,""),"")</f>
        <v/>
      </c>
    </row>
    <row r="338" spans="35:39" x14ac:dyDescent="0.15">
      <c r="AI338" s="15" t="str">
        <f>_xlfn.IFNA(IF(INDEX(製品仕様マスタ!C:C,MATCH(W2Pデータ貼り付け!T338,製品仕様マスタ!B:B,0))=0,"",INDEX(製品仕様マスタ!C:C,MATCH(W2Pデータ貼り付け!T338,製品仕様マスタ!B:B,0))),"")</f>
        <v/>
      </c>
      <c r="AJ338" s="15" t="str">
        <f>_xlfn.IFNA(IF(INDEX(製品仕様マスタ!AK:AK,MATCH(W2Pデータ貼り付け!T338,製品仕様マスタ!B:B,0))=0,"",INDEX(製品仕様マスタ!AK:AK,MATCH(W2Pデータ貼り付け!T338,製品仕様マスタ!B:B,0))),"")</f>
        <v/>
      </c>
      <c r="AK338" s="198" t="str">
        <f>_xlfn.IFNA(IF(INDEX(製品仕様マスタ!AY:AY,MATCH(W2Pデータ貼り付け!T338,製品仕様マスタ!B:B,0))=0,"",IF(INDEX(製品仕様マスタ!AY:AY,MATCH(W2Pデータ貼り付け!T338,製品仕様マスタ!B:B,0)) &lt;&gt; "-",INDEX(製品仕様マスタ!AY:AY,MATCH(W2Pデータ貼り付け!T338,製品仕様マスタ!B:B,0)),INDEX(製品仕様マスタ!AZ$1:BZ$500,MATCH(W2Pデータ貼り付け!T338,製品仕様マスタ!B:B,0),MATCH(W2Pデータ貼り付け!V338,製品仕様マスタ!AZ$1:BZ$1,0)))),"")</f>
        <v/>
      </c>
      <c r="AL338" s="15" t="str">
        <f t="shared" si="5"/>
        <v/>
      </c>
      <c r="AM338" s="15" t="str">
        <f>IF(AF338&lt;&gt;"",IF(ISNUMBER(T338),COUNT(AM$2:AM337)+1,""),"")</f>
        <v/>
      </c>
    </row>
    <row r="339" spans="35:39" x14ac:dyDescent="0.15">
      <c r="AI339" s="15" t="str">
        <f>_xlfn.IFNA(IF(INDEX(製品仕様マスタ!C:C,MATCH(W2Pデータ貼り付け!T339,製品仕様マスタ!B:B,0))=0,"",INDEX(製品仕様マスタ!C:C,MATCH(W2Pデータ貼り付け!T339,製品仕様マスタ!B:B,0))),"")</f>
        <v/>
      </c>
      <c r="AJ339" s="15" t="str">
        <f>_xlfn.IFNA(IF(INDEX(製品仕様マスタ!AK:AK,MATCH(W2Pデータ貼り付け!T339,製品仕様マスタ!B:B,0))=0,"",INDEX(製品仕様マスタ!AK:AK,MATCH(W2Pデータ貼り付け!T339,製品仕様マスタ!B:B,0))),"")</f>
        <v/>
      </c>
      <c r="AK339" s="198" t="str">
        <f>_xlfn.IFNA(IF(INDEX(製品仕様マスタ!AY:AY,MATCH(W2Pデータ貼り付け!T339,製品仕様マスタ!B:B,0))=0,"",IF(INDEX(製品仕様マスタ!AY:AY,MATCH(W2Pデータ貼り付け!T339,製品仕様マスタ!B:B,0)) &lt;&gt; "-",INDEX(製品仕様マスタ!AY:AY,MATCH(W2Pデータ貼り付け!T339,製品仕様マスタ!B:B,0)),INDEX(製品仕様マスタ!AZ$1:BZ$500,MATCH(W2Pデータ貼り付け!T339,製品仕様マスタ!B:B,0),MATCH(W2Pデータ貼り付け!V339,製品仕様マスタ!AZ$1:BZ$1,0)))),"")</f>
        <v/>
      </c>
      <c r="AL339" s="15" t="str">
        <f t="shared" si="5"/>
        <v/>
      </c>
      <c r="AM339" s="15" t="str">
        <f>IF(AF339&lt;&gt;"",IF(ISNUMBER(T339),COUNT(AM$2:AM338)+1,""),"")</f>
        <v/>
      </c>
    </row>
    <row r="340" spans="35:39" x14ac:dyDescent="0.15">
      <c r="AI340" s="15" t="str">
        <f>_xlfn.IFNA(IF(INDEX(製品仕様マスタ!C:C,MATCH(W2Pデータ貼り付け!T340,製品仕様マスタ!B:B,0))=0,"",INDEX(製品仕様マスタ!C:C,MATCH(W2Pデータ貼り付け!T340,製品仕様マスタ!B:B,0))),"")</f>
        <v/>
      </c>
      <c r="AJ340" s="15" t="str">
        <f>_xlfn.IFNA(IF(INDEX(製品仕様マスタ!AK:AK,MATCH(W2Pデータ貼り付け!T340,製品仕様マスタ!B:B,0))=0,"",INDEX(製品仕様マスタ!AK:AK,MATCH(W2Pデータ貼り付け!T340,製品仕様マスタ!B:B,0))),"")</f>
        <v/>
      </c>
      <c r="AK340" s="198" t="str">
        <f>_xlfn.IFNA(IF(INDEX(製品仕様マスタ!AY:AY,MATCH(W2Pデータ貼り付け!T340,製品仕様マスタ!B:B,0))=0,"",IF(INDEX(製品仕様マスタ!AY:AY,MATCH(W2Pデータ貼り付け!T340,製品仕様マスタ!B:B,0)) &lt;&gt; "-",INDEX(製品仕様マスタ!AY:AY,MATCH(W2Pデータ貼り付け!T340,製品仕様マスタ!B:B,0)),INDEX(製品仕様マスタ!AZ$1:BZ$500,MATCH(W2Pデータ貼り付け!T340,製品仕様マスタ!B:B,0),MATCH(W2Pデータ貼り付け!V340,製品仕様マスタ!AZ$1:BZ$1,0)))),"")</f>
        <v/>
      </c>
      <c r="AL340" s="15" t="str">
        <f t="shared" si="5"/>
        <v/>
      </c>
      <c r="AM340" s="15" t="str">
        <f>IF(AF340&lt;&gt;"",IF(ISNUMBER(T340),COUNT(AM$2:AM339)+1,""),"")</f>
        <v/>
      </c>
    </row>
    <row r="341" spans="35:39" x14ac:dyDescent="0.15">
      <c r="AI341" s="15" t="str">
        <f>_xlfn.IFNA(IF(INDEX(製品仕様マスタ!C:C,MATCH(W2Pデータ貼り付け!T341,製品仕様マスタ!B:B,0))=0,"",INDEX(製品仕様マスタ!C:C,MATCH(W2Pデータ貼り付け!T341,製品仕様マスタ!B:B,0))),"")</f>
        <v/>
      </c>
      <c r="AJ341" s="15" t="str">
        <f>_xlfn.IFNA(IF(INDEX(製品仕様マスタ!AK:AK,MATCH(W2Pデータ貼り付け!T341,製品仕様マスタ!B:B,0))=0,"",INDEX(製品仕様マスタ!AK:AK,MATCH(W2Pデータ貼り付け!T341,製品仕様マスタ!B:B,0))),"")</f>
        <v/>
      </c>
      <c r="AK341" s="198" t="str">
        <f>_xlfn.IFNA(IF(INDEX(製品仕様マスタ!AY:AY,MATCH(W2Pデータ貼り付け!T341,製品仕様マスタ!B:B,0))=0,"",IF(INDEX(製品仕様マスタ!AY:AY,MATCH(W2Pデータ貼り付け!T341,製品仕様マスタ!B:B,0)) &lt;&gt; "-",INDEX(製品仕様マスタ!AY:AY,MATCH(W2Pデータ貼り付け!T341,製品仕様マスタ!B:B,0)),INDEX(製品仕様マスタ!AZ$1:BZ$500,MATCH(W2Pデータ貼り付け!T341,製品仕様マスタ!B:B,0),MATCH(W2Pデータ貼り付け!V341,製品仕様マスタ!AZ$1:BZ$1,0)))),"")</f>
        <v/>
      </c>
      <c r="AL341" s="15" t="str">
        <f t="shared" si="5"/>
        <v/>
      </c>
      <c r="AM341" s="15" t="str">
        <f>IF(AF341&lt;&gt;"",IF(ISNUMBER(T341),COUNT(AM$2:AM340)+1,""),"")</f>
        <v/>
      </c>
    </row>
    <row r="342" spans="35:39" x14ac:dyDescent="0.15">
      <c r="AI342" s="15" t="str">
        <f>_xlfn.IFNA(IF(INDEX(製品仕様マスタ!C:C,MATCH(W2Pデータ貼り付け!T342,製品仕様マスタ!B:B,0))=0,"",INDEX(製品仕様マスタ!C:C,MATCH(W2Pデータ貼り付け!T342,製品仕様マスタ!B:B,0))),"")</f>
        <v/>
      </c>
      <c r="AJ342" s="15" t="str">
        <f>_xlfn.IFNA(IF(INDEX(製品仕様マスタ!AK:AK,MATCH(W2Pデータ貼り付け!T342,製品仕様マスタ!B:B,0))=0,"",INDEX(製品仕様マスタ!AK:AK,MATCH(W2Pデータ貼り付け!T342,製品仕様マスタ!B:B,0))),"")</f>
        <v/>
      </c>
      <c r="AK342" s="198" t="str">
        <f>_xlfn.IFNA(IF(INDEX(製品仕様マスタ!AY:AY,MATCH(W2Pデータ貼り付け!T342,製品仕様マスタ!B:B,0))=0,"",IF(INDEX(製品仕様マスタ!AY:AY,MATCH(W2Pデータ貼り付け!T342,製品仕様マスタ!B:B,0)) &lt;&gt; "-",INDEX(製品仕様マスタ!AY:AY,MATCH(W2Pデータ貼り付け!T342,製品仕様マスタ!B:B,0)),INDEX(製品仕様マスタ!AZ$1:BZ$500,MATCH(W2Pデータ貼り付け!T342,製品仕様マスタ!B:B,0),MATCH(W2Pデータ貼り付け!V342,製品仕様マスタ!AZ$1:BZ$1,0)))),"")</f>
        <v/>
      </c>
      <c r="AL342" s="15" t="str">
        <f t="shared" si="5"/>
        <v/>
      </c>
      <c r="AM342" s="15" t="str">
        <f>IF(AF342&lt;&gt;"",IF(ISNUMBER(T342),COUNT(AM$2:AM341)+1,""),"")</f>
        <v/>
      </c>
    </row>
    <row r="343" spans="35:39" x14ac:dyDescent="0.15">
      <c r="AI343" s="15" t="str">
        <f>_xlfn.IFNA(IF(INDEX(製品仕様マスタ!C:C,MATCH(W2Pデータ貼り付け!T343,製品仕様マスタ!B:B,0))=0,"",INDEX(製品仕様マスタ!C:C,MATCH(W2Pデータ貼り付け!T343,製品仕様マスタ!B:B,0))),"")</f>
        <v/>
      </c>
      <c r="AJ343" s="15" t="str">
        <f>_xlfn.IFNA(IF(INDEX(製品仕様マスタ!AK:AK,MATCH(W2Pデータ貼り付け!T343,製品仕様マスタ!B:B,0))=0,"",INDEX(製品仕様マスタ!AK:AK,MATCH(W2Pデータ貼り付け!T343,製品仕様マスタ!B:B,0))),"")</f>
        <v/>
      </c>
      <c r="AK343" s="198" t="str">
        <f>_xlfn.IFNA(IF(INDEX(製品仕様マスタ!AY:AY,MATCH(W2Pデータ貼り付け!T343,製品仕様マスタ!B:B,0))=0,"",IF(INDEX(製品仕様マスタ!AY:AY,MATCH(W2Pデータ貼り付け!T343,製品仕様マスタ!B:B,0)) &lt;&gt; "-",INDEX(製品仕様マスタ!AY:AY,MATCH(W2Pデータ貼り付け!T343,製品仕様マスタ!B:B,0)),INDEX(製品仕様マスタ!AZ$1:BZ$500,MATCH(W2Pデータ貼り付け!T343,製品仕様マスタ!B:B,0),MATCH(W2Pデータ貼り付け!V343,製品仕様マスタ!AZ$1:BZ$1,0)))),"")</f>
        <v/>
      </c>
      <c r="AL343" s="15" t="str">
        <f t="shared" si="5"/>
        <v/>
      </c>
      <c r="AM343" s="15" t="str">
        <f>IF(AF343&lt;&gt;"",IF(ISNUMBER(T343),COUNT(AM$2:AM342)+1,""),"")</f>
        <v/>
      </c>
    </row>
    <row r="344" spans="35:39" x14ac:dyDescent="0.15">
      <c r="AI344" s="15" t="str">
        <f>_xlfn.IFNA(IF(INDEX(製品仕様マスタ!C:C,MATCH(W2Pデータ貼り付け!T344,製品仕様マスタ!B:B,0))=0,"",INDEX(製品仕様マスタ!C:C,MATCH(W2Pデータ貼り付け!T344,製品仕様マスタ!B:B,0))),"")</f>
        <v/>
      </c>
      <c r="AJ344" s="15" t="str">
        <f>_xlfn.IFNA(IF(INDEX(製品仕様マスタ!AK:AK,MATCH(W2Pデータ貼り付け!T344,製品仕様マスタ!B:B,0))=0,"",INDEX(製品仕様マスタ!AK:AK,MATCH(W2Pデータ貼り付け!T344,製品仕様マスタ!B:B,0))),"")</f>
        <v/>
      </c>
      <c r="AK344" s="198" t="str">
        <f>_xlfn.IFNA(IF(INDEX(製品仕様マスタ!AY:AY,MATCH(W2Pデータ貼り付け!T344,製品仕様マスタ!B:B,0))=0,"",IF(INDEX(製品仕様マスタ!AY:AY,MATCH(W2Pデータ貼り付け!T344,製品仕様マスタ!B:B,0)) &lt;&gt; "-",INDEX(製品仕様マスタ!AY:AY,MATCH(W2Pデータ貼り付け!T344,製品仕様マスタ!B:B,0)),INDEX(製品仕様マスタ!AZ$1:BZ$500,MATCH(W2Pデータ貼り付け!T344,製品仕様マスタ!B:B,0),MATCH(W2Pデータ貼り付け!V344,製品仕様マスタ!AZ$1:BZ$1,0)))),"")</f>
        <v/>
      </c>
      <c r="AL344" s="15" t="str">
        <f t="shared" si="5"/>
        <v/>
      </c>
      <c r="AM344" s="15" t="str">
        <f>IF(AF344&lt;&gt;"",IF(ISNUMBER(T344),COUNT(AM$2:AM343)+1,""),"")</f>
        <v/>
      </c>
    </row>
    <row r="345" spans="35:39" x14ac:dyDescent="0.15">
      <c r="AI345" s="15" t="str">
        <f>_xlfn.IFNA(IF(INDEX(製品仕様マスタ!C:C,MATCH(W2Pデータ貼り付け!T345,製品仕様マスタ!B:B,0))=0,"",INDEX(製品仕様マスタ!C:C,MATCH(W2Pデータ貼り付け!T345,製品仕様マスタ!B:B,0))),"")</f>
        <v/>
      </c>
      <c r="AJ345" s="15" t="str">
        <f>_xlfn.IFNA(IF(INDEX(製品仕様マスタ!AK:AK,MATCH(W2Pデータ貼り付け!T345,製品仕様マスタ!B:B,0))=0,"",INDEX(製品仕様マスタ!AK:AK,MATCH(W2Pデータ貼り付け!T345,製品仕様マスタ!B:B,0))),"")</f>
        <v/>
      </c>
      <c r="AK345" s="198" t="str">
        <f>_xlfn.IFNA(IF(INDEX(製品仕様マスタ!AY:AY,MATCH(W2Pデータ貼り付け!T345,製品仕様マスタ!B:B,0))=0,"",IF(INDEX(製品仕様マスタ!AY:AY,MATCH(W2Pデータ貼り付け!T345,製品仕様マスタ!B:B,0)) &lt;&gt; "-",INDEX(製品仕様マスタ!AY:AY,MATCH(W2Pデータ貼り付け!T345,製品仕様マスタ!B:B,0)),INDEX(製品仕様マスタ!AZ$1:BZ$500,MATCH(W2Pデータ貼り付け!T345,製品仕様マスタ!B:B,0),MATCH(W2Pデータ貼り付け!V345,製品仕様マスタ!AZ$1:BZ$1,0)))),"")</f>
        <v/>
      </c>
      <c r="AL345" s="15" t="str">
        <f t="shared" si="5"/>
        <v/>
      </c>
      <c r="AM345" s="15" t="str">
        <f>IF(AF345&lt;&gt;"",IF(ISNUMBER(T345),COUNT(AM$2:AM344)+1,""),"")</f>
        <v/>
      </c>
    </row>
    <row r="346" spans="35:39" x14ac:dyDescent="0.15">
      <c r="AI346" s="15" t="str">
        <f>_xlfn.IFNA(IF(INDEX(製品仕様マスタ!C:C,MATCH(W2Pデータ貼り付け!T346,製品仕様マスタ!B:B,0))=0,"",INDEX(製品仕様マスタ!C:C,MATCH(W2Pデータ貼り付け!T346,製品仕様マスタ!B:B,0))),"")</f>
        <v/>
      </c>
      <c r="AJ346" s="15" t="str">
        <f>_xlfn.IFNA(IF(INDEX(製品仕様マスタ!AK:AK,MATCH(W2Pデータ貼り付け!T346,製品仕様マスタ!B:B,0))=0,"",INDEX(製品仕様マスタ!AK:AK,MATCH(W2Pデータ貼り付け!T346,製品仕様マスタ!B:B,0))),"")</f>
        <v/>
      </c>
      <c r="AK346" s="198" t="str">
        <f>_xlfn.IFNA(IF(INDEX(製品仕様マスタ!AY:AY,MATCH(W2Pデータ貼り付け!T346,製品仕様マスタ!B:B,0))=0,"",IF(INDEX(製品仕様マスタ!AY:AY,MATCH(W2Pデータ貼り付け!T346,製品仕様マスタ!B:B,0)) &lt;&gt; "-",INDEX(製品仕様マスタ!AY:AY,MATCH(W2Pデータ貼り付け!T346,製品仕様マスタ!B:B,0)),INDEX(製品仕様マスタ!AZ$1:BZ$500,MATCH(W2Pデータ貼り付け!T346,製品仕様マスタ!B:B,0),MATCH(W2Pデータ貼り付け!V346,製品仕様マスタ!AZ$1:BZ$1,0)))),"")</f>
        <v/>
      </c>
      <c r="AL346" s="15" t="str">
        <f t="shared" si="5"/>
        <v/>
      </c>
      <c r="AM346" s="15" t="str">
        <f>IF(AF346&lt;&gt;"",IF(ISNUMBER(T346),COUNT(AM$2:AM345)+1,""),"")</f>
        <v/>
      </c>
    </row>
    <row r="347" spans="35:39" x14ac:dyDescent="0.15">
      <c r="AI347" s="15" t="str">
        <f>_xlfn.IFNA(IF(INDEX(製品仕様マスタ!C:C,MATCH(W2Pデータ貼り付け!T347,製品仕様マスタ!B:B,0))=0,"",INDEX(製品仕様マスタ!C:C,MATCH(W2Pデータ貼り付け!T347,製品仕様マスタ!B:B,0))),"")</f>
        <v/>
      </c>
      <c r="AJ347" s="15" t="str">
        <f>_xlfn.IFNA(IF(INDEX(製品仕様マスタ!AK:AK,MATCH(W2Pデータ貼り付け!T347,製品仕様マスタ!B:B,0))=0,"",INDEX(製品仕様マスタ!AK:AK,MATCH(W2Pデータ貼り付け!T347,製品仕様マスタ!B:B,0))),"")</f>
        <v/>
      </c>
      <c r="AK347" s="198" t="str">
        <f>_xlfn.IFNA(IF(INDEX(製品仕様マスタ!AY:AY,MATCH(W2Pデータ貼り付け!T347,製品仕様マスタ!B:B,0))=0,"",IF(INDEX(製品仕様マスタ!AY:AY,MATCH(W2Pデータ貼り付け!T347,製品仕様マスタ!B:B,0)) &lt;&gt; "-",INDEX(製品仕様マスタ!AY:AY,MATCH(W2Pデータ貼り付け!T347,製品仕様マスタ!B:B,0)),INDEX(製品仕様マスタ!AZ$1:BZ$500,MATCH(W2Pデータ貼り付け!T347,製品仕様マスタ!B:B,0),MATCH(W2Pデータ貼り付け!V347,製品仕様マスタ!AZ$1:BZ$1,0)))),"")</f>
        <v/>
      </c>
      <c r="AL347" s="15" t="str">
        <f t="shared" si="5"/>
        <v/>
      </c>
      <c r="AM347" s="15" t="str">
        <f>IF(AF347&lt;&gt;"",IF(ISNUMBER(T347),COUNT(AM$2:AM346)+1,""),"")</f>
        <v/>
      </c>
    </row>
    <row r="348" spans="35:39" x14ac:dyDescent="0.15">
      <c r="AI348" s="15" t="str">
        <f>_xlfn.IFNA(IF(INDEX(製品仕様マスタ!C:C,MATCH(W2Pデータ貼り付け!T348,製品仕様マスタ!B:B,0))=0,"",INDEX(製品仕様マスタ!C:C,MATCH(W2Pデータ貼り付け!T348,製品仕様マスタ!B:B,0))),"")</f>
        <v/>
      </c>
      <c r="AJ348" s="15" t="str">
        <f>_xlfn.IFNA(IF(INDEX(製品仕様マスタ!AK:AK,MATCH(W2Pデータ貼り付け!T348,製品仕様マスタ!B:B,0))=0,"",INDEX(製品仕様マスタ!AK:AK,MATCH(W2Pデータ貼り付け!T348,製品仕様マスタ!B:B,0))),"")</f>
        <v/>
      </c>
      <c r="AK348" s="198" t="str">
        <f>_xlfn.IFNA(IF(INDEX(製品仕様マスタ!AY:AY,MATCH(W2Pデータ貼り付け!T348,製品仕様マスタ!B:B,0))=0,"",IF(INDEX(製品仕様マスタ!AY:AY,MATCH(W2Pデータ貼り付け!T348,製品仕様マスタ!B:B,0)) &lt;&gt; "-",INDEX(製品仕様マスタ!AY:AY,MATCH(W2Pデータ貼り付け!T348,製品仕様マスタ!B:B,0)),INDEX(製品仕様マスタ!AZ$1:BZ$500,MATCH(W2Pデータ貼り付け!T348,製品仕様マスタ!B:B,0),MATCH(W2Pデータ貼り付け!V348,製品仕様マスタ!AZ$1:BZ$1,0)))),"")</f>
        <v/>
      </c>
      <c r="AL348" s="15" t="str">
        <f t="shared" si="5"/>
        <v/>
      </c>
      <c r="AM348" s="15" t="str">
        <f>IF(AF348&lt;&gt;"",IF(ISNUMBER(T348),COUNT(AM$2:AM347)+1,""),"")</f>
        <v/>
      </c>
    </row>
    <row r="349" spans="35:39" x14ac:dyDescent="0.15">
      <c r="AI349" s="15" t="str">
        <f>_xlfn.IFNA(IF(INDEX(製品仕様マスタ!C:C,MATCH(W2Pデータ貼り付け!T349,製品仕様マスタ!B:B,0))=0,"",INDEX(製品仕様マスタ!C:C,MATCH(W2Pデータ貼り付け!T349,製品仕様マスタ!B:B,0))),"")</f>
        <v/>
      </c>
      <c r="AJ349" s="15" t="str">
        <f>_xlfn.IFNA(IF(INDEX(製品仕様マスタ!AK:AK,MATCH(W2Pデータ貼り付け!T349,製品仕様マスタ!B:B,0))=0,"",INDEX(製品仕様マスタ!AK:AK,MATCH(W2Pデータ貼り付け!T349,製品仕様マスタ!B:B,0))),"")</f>
        <v/>
      </c>
      <c r="AK349" s="198" t="str">
        <f>_xlfn.IFNA(IF(INDEX(製品仕様マスタ!AY:AY,MATCH(W2Pデータ貼り付け!T349,製品仕様マスタ!B:B,0))=0,"",IF(INDEX(製品仕様マスタ!AY:AY,MATCH(W2Pデータ貼り付け!T349,製品仕様マスタ!B:B,0)) &lt;&gt; "-",INDEX(製品仕様マスタ!AY:AY,MATCH(W2Pデータ貼り付け!T349,製品仕様マスタ!B:B,0)),INDEX(製品仕様マスタ!AZ$1:BZ$500,MATCH(W2Pデータ貼り付け!T349,製品仕様マスタ!B:B,0),MATCH(W2Pデータ貼り付け!V349,製品仕様マスタ!AZ$1:BZ$1,0)))),"")</f>
        <v/>
      </c>
      <c r="AL349" s="15" t="str">
        <f t="shared" si="5"/>
        <v/>
      </c>
      <c r="AM349" s="15" t="str">
        <f>IF(AF349&lt;&gt;"",IF(ISNUMBER(T349),COUNT(AM$2:AM348)+1,""),"")</f>
        <v/>
      </c>
    </row>
    <row r="350" spans="35:39" x14ac:dyDescent="0.15">
      <c r="AI350" s="15" t="str">
        <f>_xlfn.IFNA(IF(INDEX(製品仕様マスタ!C:C,MATCH(W2Pデータ貼り付け!T350,製品仕様マスタ!B:B,0))=0,"",INDEX(製品仕様マスタ!C:C,MATCH(W2Pデータ貼り付け!T350,製品仕様マスタ!B:B,0))),"")</f>
        <v/>
      </c>
      <c r="AJ350" s="15" t="str">
        <f>_xlfn.IFNA(IF(INDEX(製品仕様マスタ!AK:AK,MATCH(W2Pデータ貼り付け!T350,製品仕様マスタ!B:B,0))=0,"",INDEX(製品仕様マスタ!AK:AK,MATCH(W2Pデータ貼り付け!T350,製品仕様マスタ!B:B,0))),"")</f>
        <v/>
      </c>
      <c r="AK350" s="198" t="str">
        <f>_xlfn.IFNA(IF(INDEX(製品仕様マスタ!AY:AY,MATCH(W2Pデータ貼り付け!T350,製品仕様マスタ!B:B,0))=0,"",IF(INDEX(製品仕様マスタ!AY:AY,MATCH(W2Pデータ貼り付け!T350,製品仕様マスタ!B:B,0)) &lt;&gt; "-",INDEX(製品仕様マスタ!AY:AY,MATCH(W2Pデータ貼り付け!T350,製品仕様マスタ!B:B,0)),INDEX(製品仕様マスタ!AZ$1:BZ$500,MATCH(W2Pデータ貼り付け!T350,製品仕様マスタ!B:B,0),MATCH(W2Pデータ貼り付け!V350,製品仕様マスタ!AZ$1:BZ$1,0)))),"")</f>
        <v/>
      </c>
      <c r="AL350" s="15" t="str">
        <f t="shared" si="5"/>
        <v/>
      </c>
      <c r="AM350" s="15" t="str">
        <f>IF(AF350&lt;&gt;"",IF(ISNUMBER(T350),COUNT(AM$2:AM349)+1,""),"")</f>
        <v/>
      </c>
    </row>
    <row r="351" spans="35:39" x14ac:dyDescent="0.15">
      <c r="AI351" s="15" t="str">
        <f>_xlfn.IFNA(IF(INDEX(製品仕様マスタ!C:C,MATCH(W2Pデータ貼り付け!T351,製品仕様マスタ!B:B,0))=0,"",INDEX(製品仕様マスタ!C:C,MATCH(W2Pデータ貼り付け!T351,製品仕様マスタ!B:B,0))),"")</f>
        <v/>
      </c>
      <c r="AJ351" s="15" t="str">
        <f>_xlfn.IFNA(IF(INDEX(製品仕様マスタ!AK:AK,MATCH(W2Pデータ貼り付け!T351,製品仕様マスタ!B:B,0))=0,"",INDEX(製品仕様マスタ!AK:AK,MATCH(W2Pデータ貼り付け!T351,製品仕様マスタ!B:B,0))),"")</f>
        <v/>
      </c>
      <c r="AK351" s="198" t="str">
        <f>_xlfn.IFNA(IF(INDEX(製品仕様マスタ!AY:AY,MATCH(W2Pデータ貼り付け!T351,製品仕様マスタ!B:B,0))=0,"",IF(INDEX(製品仕様マスタ!AY:AY,MATCH(W2Pデータ貼り付け!T351,製品仕様マスタ!B:B,0)) &lt;&gt; "-",INDEX(製品仕様マスタ!AY:AY,MATCH(W2Pデータ貼り付け!T351,製品仕様マスタ!B:B,0)),INDEX(製品仕様マスタ!AZ$1:BZ$500,MATCH(W2Pデータ貼り付け!T351,製品仕様マスタ!B:B,0),MATCH(W2Pデータ貼り付け!V351,製品仕様マスタ!AZ$1:BZ$1,0)))),"")</f>
        <v/>
      </c>
      <c r="AL351" s="15" t="str">
        <f t="shared" si="5"/>
        <v/>
      </c>
      <c r="AM351" s="15" t="str">
        <f>IF(AF351&lt;&gt;"",IF(ISNUMBER(T351),COUNT(AM$2:AM350)+1,""),"")</f>
        <v/>
      </c>
    </row>
    <row r="352" spans="35:39" x14ac:dyDescent="0.15">
      <c r="AI352" s="15" t="str">
        <f>_xlfn.IFNA(IF(INDEX(製品仕様マスタ!C:C,MATCH(W2Pデータ貼り付け!T352,製品仕様マスタ!B:B,0))=0,"",INDEX(製品仕様マスタ!C:C,MATCH(W2Pデータ貼り付け!T352,製品仕様マスタ!B:B,0))),"")</f>
        <v/>
      </c>
      <c r="AJ352" s="15" t="str">
        <f>_xlfn.IFNA(IF(INDEX(製品仕様マスタ!AK:AK,MATCH(W2Pデータ貼り付け!T352,製品仕様マスタ!B:B,0))=0,"",INDEX(製品仕様マスタ!AK:AK,MATCH(W2Pデータ貼り付け!T352,製品仕様マスタ!B:B,0))),"")</f>
        <v/>
      </c>
      <c r="AK352" s="198" t="str">
        <f>_xlfn.IFNA(IF(INDEX(製品仕様マスタ!AY:AY,MATCH(W2Pデータ貼り付け!T352,製品仕様マスタ!B:B,0))=0,"",IF(INDEX(製品仕様マスタ!AY:AY,MATCH(W2Pデータ貼り付け!T352,製品仕様マスタ!B:B,0)) &lt;&gt; "-",INDEX(製品仕様マスタ!AY:AY,MATCH(W2Pデータ貼り付け!T352,製品仕様マスタ!B:B,0)),INDEX(製品仕様マスタ!AZ$1:BZ$500,MATCH(W2Pデータ貼り付け!T352,製品仕様マスタ!B:B,0),MATCH(W2Pデータ貼り付け!V352,製品仕様マスタ!AZ$1:BZ$1,0)))),"")</f>
        <v/>
      </c>
      <c r="AL352" s="15" t="str">
        <f t="shared" si="5"/>
        <v/>
      </c>
      <c r="AM352" s="15" t="str">
        <f>IF(AF352&lt;&gt;"",IF(ISNUMBER(T352),COUNT(AM$2:AM351)+1,""),"")</f>
        <v/>
      </c>
    </row>
  </sheetData>
  <sheetProtection sheet="1" objects="1" scenarios="1" autoFilter="0"/>
  <autoFilter ref="A1:AH356" xr:uid="{00000000-0009-0000-0000-000000000000}"/>
  <phoneticPr fontId="1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4" name="Button 6">
              <controlPr defaultSize="0" print="0" autoFill="0" autoPict="0" macro="[0]!get_w2p">
                <anchor moveWithCells="1" sizeWithCells="1">
                  <from>
                    <xdr:col>0</xdr:col>
                    <xdr:colOff>609600</xdr:colOff>
                    <xdr:row>0</xdr:row>
                    <xdr:rowOff>104775</xdr:rowOff>
                  </from>
                  <to>
                    <xdr:col>0</xdr:col>
                    <xdr:colOff>1638300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createOthersideData">
                <anchor moveWithCells="1" sizeWithCells="1">
                  <from>
                    <xdr:col>0</xdr:col>
                    <xdr:colOff>3038475</xdr:colOff>
                    <xdr:row>0</xdr:row>
                    <xdr:rowOff>95250</xdr:rowOff>
                  </from>
                  <to>
                    <xdr:col>0</xdr:col>
                    <xdr:colOff>4067175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Button 10">
              <controlPr defaultSize="0" print="0" autoFill="0" autoPict="0" macro="[0]!create_shijisyo">
                <anchor moveWithCells="1" sizeWithCells="1">
                  <from>
                    <xdr:col>0</xdr:col>
                    <xdr:colOff>1819275</xdr:colOff>
                    <xdr:row>0</xdr:row>
                    <xdr:rowOff>104775</xdr:rowOff>
                  </from>
                  <to>
                    <xdr:col>0</xdr:col>
                    <xdr:colOff>2847975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Button 11">
              <controlPr defaultSize="0" print="0" autoFill="0" autoPict="0" macro="[0]!meisai_shindoh">
                <anchor moveWithCells="1" sizeWithCells="1">
                  <from>
                    <xdr:col>0</xdr:col>
                    <xdr:colOff>4219575</xdr:colOff>
                    <xdr:row>0</xdr:row>
                    <xdr:rowOff>114300</xdr:rowOff>
                  </from>
                  <to>
                    <xdr:col>0</xdr:col>
                    <xdr:colOff>5248275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Button 12">
              <controlPr defaultSize="0" print="0" autoFill="0" autoPict="0" macro="[0]!get_w2p">
                <anchor moveWithCells="1" sizeWithCells="1">
                  <from>
                    <xdr:col>0</xdr:col>
                    <xdr:colOff>609600</xdr:colOff>
                    <xdr:row>0</xdr:row>
                    <xdr:rowOff>104775</xdr:rowOff>
                  </from>
                  <to>
                    <xdr:col>0</xdr:col>
                    <xdr:colOff>1638300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9" name="Button 13">
              <controlPr defaultSize="0" print="0" autoFill="0" autoPict="0">
                <anchor moveWithCells="1" sizeWithCells="1">
                  <from>
                    <xdr:col>0</xdr:col>
                    <xdr:colOff>3038475</xdr:colOff>
                    <xdr:row>0</xdr:row>
                    <xdr:rowOff>95250</xdr:rowOff>
                  </from>
                  <to>
                    <xdr:col>0</xdr:col>
                    <xdr:colOff>4067175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0" name="Button 14">
              <controlPr defaultSize="0" print="0" autoFill="0" autoPict="0">
                <anchor moveWithCells="1" sizeWithCells="1">
                  <from>
                    <xdr:col>0</xdr:col>
                    <xdr:colOff>1819275</xdr:colOff>
                    <xdr:row>0</xdr:row>
                    <xdr:rowOff>104775</xdr:rowOff>
                  </from>
                  <to>
                    <xdr:col>0</xdr:col>
                    <xdr:colOff>2847975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1" name="Button 15">
              <controlPr defaultSize="0" print="0" autoFill="0" autoPict="0">
                <anchor moveWithCells="1" sizeWithCells="1">
                  <from>
                    <xdr:col>0</xdr:col>
                    <xdr:colOff>4219575</xdr:colOff>
                    <xdr:row>0</xdr:row>
                    <xdr:rowOff>114300</xdr:rowOff>
                  </from>
                  <to>
                    <xdr:col>0</xdr:col>
                    <xdr:colOff>5248275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2" name="Button 20">
              <controlPr defaultSize="0" print="0" autoFill="0" autoPict="0" macro="[0]!get_w2p">
                <anchor moveWithCells="1" sizeWithCells="1">
                  <from>
                    <xdr:col>0</xdr:col>
                    <xdr:colOff>609600</xdr:colOff>
                    <xdr:row>0</xdr:row>
                    <xdr:rowOff>104775</xdr:rowOff>
                  </from>
                  <to>
                    <xdr:col>0</xdr:col>
                    <xdr:colOff>1638300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3" name="Button 21">
              <controlPr defaultSize="0" print="0" autoFill="0" autoPict="0" macro="[0]!createOthersideData">
                <anchor moveWithCells="1" sizeWithCells="1">
                  <from>
                    <xdr:col>0</xdr:col>
                    <xdr:colOff>3038475</xdr:colOff>
                    <xdr:row>0</xdr:row>
                    <xdr:rowOff>95250</xdr:rowOff>
                  </from>
                  <to>
                    <xdr:col>0</xdr:col>
                    <xdr:colOff>4067175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4" name="Button 22">
              <controlPr defaultSize="0" print="0" autoFill="0" autoPict="0" macro="[0]!create_shijisyo">
                <anchor moveWithCells="1" sizeWithCells="1">
                  <from>
                    <xdr:col>0</xdr:col>
                    <xdr:colOff>1819275</xdr:colOff>
                    <xdr:row>0</xdr:row>
                    <xdr:rowOff>104775</xdr:rowOff>
                  </from>
                  <to>
                    <xdr:col>0</xdr:col>
                    <xdr:colOff>2847975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Button 23">
              <controlPr defaultSize="0" print="0" autoFill="0" autoPict="0" macro="[0]!meisai_shindoh">
                <anchor moveWithCells="1" sizeWithCells="1">
                  <from>
                    <xdr:col>0</xdr:col>
                    <xdr:colOff>4219575</xdr:colOff>
                    <xdr:row>0</xdr:row>
                    <xdr:rowOff>114300</xdr:rowOff>
                  </from>
                  <to>
                    <xdr:col>0</xdr:col>
                    <xdr:colOff>5248275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Button 24">
              <controlPr defaultSize="0" print="0" autoFill="0" autoPict="0" macro="[0]!get_w2p">
                <anchor moveWithCells="1" sizeWithCells="1">
                  <from>
                    <xdr:col>0</xdr:col>
                    <xdr:colOff>609600</xdr:colOff>
                    <xdr:row>0</xdr:row>
                    <xdr:rowOff>104775</xdr:rowOff>
                  </from>
                  <to>
                    <xdr:col>0</xdr:col>
                    <xdr:colOff>1638300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Button 25">
              <controlPr defaultSize="0" print="0" autoFill="0" autoPict="0" macro="[0]!createOthersideData">
                <anchor moveWithCells="1" sizeWithCells="1">
                  <from>
                    <xdr:col>0</xdr:col>
                    <xdr:colOff>3038475</xdr:colOff>
                    <xdr:row>0</xdr:row>
                    <xdr:rowOff>95250</xdr:rowOff>
                  </from>
                  <to>
                    <xdr:col>0</xdr:col>
                    <xdr:colOff>4067175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Button 26">
              <controlPr defaultSize="0" print="0" autoFill="0" autoPict="0" macro="[0]!create_shijisyo">
                <anchor moveWithCells="1" sizeWithCells="1">
                  <from>
                    <xdr:col>0</xdr:col>
                    <xdr:colOff>1819275</xdr:colOff>
                    <xdr:row>0</xdr:row>
                    <xdr:rowOff>104775</xdr:rowOff>
                  </from>
                  <to>
                    <xdr:col>0</xdr:col>
                    <xdr:colOff>2847975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Button 27">
              <controlPr defaultSize="0" print="0" autoFill="0" autoPict="0" macro="[0]!meisai_shindoh">
                <anchor moveWithCells="1" sizeWithCells="1">
                  <from>
                    <xdr:col>0</xdr:col>
                    <xdr:colOff>4219575</xdr:colOff>
                    <xdr:row>0</xdr:row>
                    <xdr:rowOff>114300</xdr:rowOff>
                  </from>
                  <to>
                    <xdr:col>0</xdr:col>
                    <xdr:colOff>5248275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11"/>
  <sheetViews>
    <sheetView showGridLines="0" topLeftCell="A237" zoomScaleNormal="100" zoomScaleSheetLayoutView="100" workbookViewId="0">
      <selection activeCell="L196" sqref="L196"/>
    </sheetView>
  </sheetViews>
  <sheetFormatPr defaultColWidth="9" defaultRowHeight="12" x14ac:dyDescent="0.15"/>
  <cols>
    <col min="1" max="1" width="3.25" style="53" customWidth="1"/>
    <col min="2" max="3" width="5.875" style="53" customWidth="1"/>
    <col min="4" max="10" width="9" style="53"/>
    <col min="11" max="11" width="4.375" style="53" customWidth="1"/>
    <col min="12" max="17" width="9" style="53"/>
    <col min="18" max="18" width="8.5" style="53" bestFit="1" customWidth="1"/>
    <col min="19" max="19" width="45.5" style="53" bestFit="1" customWidth="1"/>
    <col min="20" max="16384" width="9" style="53"/>
  </cols>
  <sheetData>
    <row r="1" spans="1:20" ht="14.25" x14ac:dyDescent="0.15">
      <c r="A1" s="1" t="s">
        <v>20</v>
      </c>
    </row>
    <row r="2" spans="1:20" x14ac:dyDescent="0.15">
      <c r="R2" s="53" t="s">
        <v>944</v>
      </c>
      <c r="S2" s="53" t="s">
        <v>945</v>
      </c>
      <c r="T2" s="53" t="s">
        <v>946</v>
      </c>
    </row>
    <row r="3" spans="1:20" x14ac:dyDescent="0.15">
      <c r="B3" s="53" t="s">
        <v>795</v>
      </c>
      <c r="R3" s="104">
        <v>44621</v>
      </c>
      <c r="S3" s="53" t="s">
        <v>947</v>
      </c>
      <c r="T3" s="105" t="s">
        <v>948</v>
      </c>
    </row>
    <row r="18" spans="2:2" x14ac:dyDescent="0.15">
      <c r="B18" s="52" t="s">
        <v>786</v>
      </c>
    </row>
    <row r="20" spans="2:2" x14ac:dyDescent="0.15">
      <c r="B20" s="53" t="s">
        <v>791</v>
      </c>
    </row>
    <row r="60" spans="2:2" x14ac:dyDescent="0.15">
      <c r="B60" s="53" t="s">
        <v>784</v>
      </c>
    </row>
    <row r="74" spans="2:2" x14ac:dyDescent="0.15">
      <c r="B74" s="53" t="s">
        <v>785</v>
      </c>
    </row>
    <row r="105" spans="2:2" x14ac:dyDescent="0.15">
      <c r="B105" s="53" t="s">
        <v>801</v>
      </c>
    </row>
    <row r="146" spans="2:2" x14ac:dyDescent="0.15">
      <c r="B146" s="53" t="s">
        <v>802</v>
      </c>
    </row>
    <row r="183" spans="2:2" x14ac:dyDescent="0.15">
      <c r="B183" s="53" t="s">
        <v>803</v>
      </c>
    </row>
    <row r="198" spans="2:4" x14ac:dyDescent="0.15">
      <c r="B198" s="53" t="s">
        <v>790</v>
      </c>
    </row>
    <row r="200" spans="2:4" x14ac:dyDescent="0.15">
      <c r="B200" s="53" t="str">
        <f ca="1">MID(CELL("filename"),FIND("[",CELL("filename"))+1,FIND("]",CELL("filename"))-FIND("[",CELL("filename"))-1)</f>
        <v>20260117_SOMPO集計・仕分けマクロ.xlsm</v>
      </c>
    </row>
    <row r="201" spans="2:4" ht="15.75" customHeight="1" x14ac:dyDescent="0.15">
      <c r="B201" s="53" t="s">
        <v>796</v>
      </c>
    </row>
    <row r="202" spans="2:4" ht="15.75" customHeight="1" x14ac:dyDescent="0.15">
      <c r="C202" s="53" t="s">
        <v>799</v>
      </c>
    </row>
    <row r="203" spans="2:4" ht="15.75" customHeight="1" x14ac:dyDescent="0.15">
      <c r="B203" s="53" t="str">
        <f xml:space="preserve"> "      " &amp; ファイル名設定シート!B3</f>
        <v xml:space="preserve">      注文一覧YYYYMMDD</v>
      </c>
    </row>
    <row r="204" spans="2:4" ht="15.75" customHeight="1" x14ac:dyDescent="0.15">
      <c r="B204" s="53" t="s">
        <v>798</v>
      </c>
    </row>
    <row r="205" spans="2:4" ht="15.75" customHeight="1" x14ac:dyDescent="0.15">
      <c r="B205" s="62"/>
      <c r="C205" s="53" t="str">
        <f>ファイル名設定シート!B6</f>
        <v>SOMPO受注YYYYMMDD マルテックス様</v>
      </c>
    </row>
    <row r="206" spans="2:4" ht="15.75" customHeight="1" x14ac:dyDescent="0.15">
      <c r="C206" s="53" t="str">
        <f>ファイル名設定シート!B4</f>
        <v>SOMPO受注YYYYMMDD新藤様</v>
      </c>
    </row>
    <row r="207" spans="2:4" ht="15.75" customHeight="1" x14ac:dyDescent="0.15">
      <c r="C207" s="53" t="s">
        <v>800</v>
      </c>
    </row>
    <row r="208" spans="2:4" ht="15.75" customHeight="1" x14ac:dyDescent="0.15">
      <c r="C208" s="62"/>
      <c r="D208" s="53" t="str">
        <f>ファイル名設定シート!B5</f>
        <v>SOMPO受付YYYYMMDD マルテックス様_拠点配送</v>
      </c>
    </row>
    <row r="209" spans="2:3" x14ac:dyDescent="0.15">
      <c r="C209" s="62"/>
    </row>
    <row r="211" spans="2:3" x14ac:dyDescent="0.15">
      <c r="B211" s="52" t="s">
        <v>787</v>
      </c>
    </row>
    <row r="213" spans="2:3" x14ac:dyDescent="0.15">
      <c r="B213" s="53" t="s">
        <v>797</v>
      </c>
    </row>
    <row r="251" spans="2:2" x14ac:dyDescent="0.15">
      <c r="B251" s="53" t="s">
        <v>788</v>
      </c>
    </row>
    <row r="288" spans="2:2" x14ac:dyDescent="0.15">
      <c r="B288" s="53" t="s">
        <v>789</v>
      </c>
    </row>
    <row r="302" spans="2:2" x14ac:dyDescent="0.15">
      <c r="B302" s="53" t="s">
        <v>804</v>
      </c>
    </row>
    <row r="304" spans="2:2" x14ac:dyDescent="0.15">
      <c r="B304" s="53" t="str">
        <f xml:space="preserve"> "     " &amp; ファイル名設定シート!B7</f>
        <v xml:space="preserve">     【RLC】入庫取込データYYYYMMDD</v>
      </c>
    </row>
    <row r="305" spans="2:2" x14ac:dyDescent="0.15">
      <c r="B305" s="53" t="str">
        <f xml:space="preserve"> "     " &amp; ファイル名設定シート!B8</f>
        <v xml:space="preserve">     【RLC】出荷データYYYYMMDD</v>
      </c>
    </row>
    <row r="308" spans="2:2" ht="14.25" x14ac:dyDescent="0.15">
      <c r="B308" s="2" t="s">
        <v>23</v>
      </c>
    </row>
    <row r="309" spans="2:2" x14ac:dyDescent="0.15">
      <c r="B309" s="3"/>
    </row>
    <row r="310" spans="2:2" x14ac:dyDescent="0.15">
      <c r="B310" s="53" t="s">
        <v>21</v>
      </c>
    </row>
    <row r="311" spans="2:2" x14ac:dyDescent="0.15">
      <c r="B311" s="53" t="s">
        <v>22</v>
      </c>
    </row>
  </sheetData>
  <sheetProtection sheet="1" objects="1" scenarios="1"/>
  <phoneticPr fontId="10"/>
  <pageMargins left="0.78740157480314965" right="0.39370078740157483" top="0.59055118110236227" bottom="0.39370078740157483" header="0.39370078740157483" footer="0.39370078740157483"/>
  <pageSetup paperSize="9" orientation="portrait" r:id="rId1"/>
  <headerFooter alignWithMargins="0">
    <oddFooter>&amp;R&amp;10&amp;P / &amp;N ページ</oddFooter>
  </headerFooter>
  <rowBreaks count="2" manualBreakCount="2">
    <brk id="113" max="10" man="1"/>
    <brk id="307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A2"/>
  <sheetViews>
    <sheetView workbookViewId="0"/>
  </sheetViews>
  <sheetFormatPr defaultRowHeight="13.5" x14ac:dyDescent="0.15"/>
  <sheetData>
    <row r="1" spans="1:1" x14ac:dyDescent="0.15">
      <c r="A1" t="s">
        <v>1635</v>
      </c>
    </row>
    <row r="2" spans="1:1" x14ac:dyDescent="0.15">
      <c r="A2" t="s">
        <v>1577</v>
      </c>
    </row>
  </sheetData>
  <phoneticPr fontId="1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92D050"/>
  </sheetPr>
  <dimension ref="A1:I341"/>
  <sheetViews>
    <sheetView view="pageBreakPreview" zoomScaleNormal="100" zoomScaleSheetLayoutView="100" workbookViewId="0">
      <selection activeCell="B339" activeCellId="11" sqref="B306:B307 B309:B310 B312:B313 B315:B316 B318:B319 B321:B322 B324:B325 B327:B328 B330:B331 B333:B334 B336:B337 B339:B340"/>
    </sheetView>
  </sheetViews>
  <sheetFormatPr defaultColWidth="9" defaultRowHeight="12" x14ac:dyDescent="0.2"/>
  <cols>
    <col min="1" max="1" width="9" style="16" customWidth="1"/>
    <col min="2" max="3" width="14.875" style="16" customWidth="1"/>
    <col min="4" max="4" width="25.375" style="16" customWidth="1"/>
    <col min="5" max="5" width="23.875" style="16" customWidth="1"/>
    <col min="6" max="6" width="8.5" style="16" customWidth="1"/>
    <col min="7" max="7" width="9.25" style="16" customWidth="1"/>
    <col min="8" max="8" width="9.75" style="16" customWidth="1"/>
    <col min="9" max="9" width="15.75" style="16" customWidth="1"/>
    <col min="10" max="10" width="9.75" style="16" customWidth="1"/>
    <col min="11" max="16384" width="9" style="16"/>
  </cols>
  <sheetData>
    <row r="1" spans="1:9" ht="14.25" x14ac:dyDescent="0.25">
      <c r="A1" s="30">
        <v>200289</v>
      </c>
      <c r="B1" s="30" t="s">
        <v>874</v>
      </c>
      <c r="C1" s="30"/>
      <c r="D1" s="30"/>
      <c r="E1" s="30"/>
      <c r="F1" s="30"/>
      <c r="G1" s="30"/>
      <c r="H1" s="30" t="s">
        <v>401</v>
      </c>
      <c r="I1" s="30"/>
    </row>
    <row r="2" spans="1:9" ht="14.25" x14ac:dyDescent="0.25">
      <c r="A2" s="30"/>
      <c r="B2" s="30" t="s">
        <v>1646</v>
      </c>
      <c r="C2" s="30"/>
      <c r="D2" s="30"/>
      <c r="E2" s="30"/>
      <c r="F2" s="30"/>
      <c r="G2" s="30"/>
      <c r="H2" s="30" t="s">
        <v>1647</v>
      </c>
      <c r="I2" s="30"/>
    </row>
    <row r="3" spans="1:9" ht="14.25" x14ac:dyDescent="0.25">
      <c r="A3" s="30"/>
      <c r="B3" s="30" t="s">
        <v>1648</v>
      </c>
      <c r="C3" s="30"/>
      <c r="D3" s="30"/>
      <c r="E3" s="30"/>
      <c r="F3" s="30"/>
      <c r="G3" s="30"/>
      <c r="H3" s="30" t="s">
        <v>1636</v>
      </c>
      <c r="I3" s="30"/>
    </row>
    <row r="4" spans="1:9" ht="14.25" x14ac:dyDescent="0.25">
      <c r="A4" s="30"/>
      <c r="B4" s="30"/>
      <c r="C4" s="30"/>
      <c r="D4" s="30"/>
      <c r="E4" s="30"/>
      <c r="F4" s="30"/>
      <c r="G4" s="30"/>
      <c r="H4" s="30" t="s">
        <v>1637</v>
      </c>
      <c r="I4" s="35" t="s">
        <v>1638</v>
      </c>
    </row>
    <row r="5" spans="1:9" ht="49.5" customHeight="1" x14ac:dyDescent="0.2">
      <c r="A5" s="20" t="s">
        <v>1639</v>
      </c>
      <c r="B5" s="21" t="s">
        <v>1640</v>
      </c>
      <c r="C5" s="21" t="s">
        <v>171</v>
      </c>
      <c r="D5" s="21" t="s">
        <v>1641</v>
      </c>
      <c r="E5" s="21" t="s">
        <v>1642</v>
      </c>
      <c r="F5" s="21" t="s">
        <v>1643</v>
      </c>
      <c r="G5" s="20" t="s">
        <v>1644</v>
      </c>
      <c r="H5" s="20" t="s">
        <v>1645</v>
      </c>
      <c r="I5" s="20" t="s">
        <v>402</v>
      </c>
    </row>
    <row r="6" spans="1:9" ht="14.25" customHeight="1" x14ac:dyDescent="0.25">
      <c r="A6" s="216">
        <v>1</v>
      </c>
      <c r="B6" s="22" t="str">
        <f>IFERROR(LEFT(_xlfn.IFNA(INDEX(W2Pデータ貼り付け!B:B,MATCH(注文書!$A6,W2Pデータ貼り付け!$AM:$AM,0)),""),FIND("-",_xlfn.IFNA(INDEX(W2Pデータ貼り付け!B:B,MATCH(注文書!$A6,W2Pデータ貼り付け!$AM:$AM,0)),""))-1),_xlfn.IFNA(INDEX(W2Pデータ貼り付け!B:B,MATCH(注文書!$A6,W2Pデータ貼り付け!$AM:$AM,0)),""))</f>
        <v>RSTES251022</v>
      </c>
      <c r="C6" s="219">
        <f>_xlfn.IFNA(DATEVALUE(TEXT(INDEX(W2Pデータ貼り付け!AF:AF,MATCH(注文書!$A6,W2Pデータ貼り付け!$AM:$AM,0)),"0000!/00!/00")),"")</f>
        <v>46044</v>
      </c>
      <c r="D6" s="17" t="str">
        <f>_xlfn.IFNA(INDEX(W2Pデータ貼り付け!M:M,MATCH(注文書!$A6,W2Pデータ貼り付け!$AM:$AM,0)),"")</f>
        <v>108-0023</v>
      </c>
      <c r="E6" s="17">
        <f>_xlfn.IFNA(INDEX(W2Pデータ貼り付け!T:T,MATCH(注文書!$A6,W2Pデータ貼り付け!$AM:$AM,0)),"")</f>
        <v>201485</v>
      </c>
      <c r="F6" s="23" t="str" cm="1">
        <f t="array" ref="F6">_xlfn.IFNA(_xlfn.SINGLE(INDEX(CONCATENATE(W2Pデータ貼り付け!V:V,"部"),MATCH(注文書!$A6,W2Pデータ貼り付け!$AM:$AM,0))),"")</f>
        <v>1部</v>
      </c>
      <c r="G6" s="24"/>
      <c r="H6" s="24"/>
      <c r="I6" s="24"/>
    </row>
    <row r="7" spans="1:9" ht="14.25" customHeight="1" x14ac:dyDescent="0.25">
      <c r="A7" s="217"/>
      <c r="B7" s="25" t="str">
        <f>IFERROR(MID(_xlfn.IFNA(INDEX(W2Pデータ貼り付け!B:B,MATCH(注文書!$A6,W2Pデータ貼り付け!$AM:$AM,0)),""),FIND("-",_xlfn.IFNA(INDEX(W2Pデータ貼り付け!B:B,MATCH(注文書!$A6,W2Pデータ貼り付け!$AM:$AM,0)),"")),LEN(_xlfn.IFNA(INDEX(W2Pデータ貼り付け!B:B,MATCH(注文書!$A6,W2Pデータ貼り付け!$AM:$AM,0)),""))),"")</f>
        <v>-0003</v>
      </c>
      <c r="C7" s="220"/>
      <c r="D7" s="18" t="str">
        <f>_xlfn.IFNA(INDEX(W2Pデータ貼り付け!N:N,MATCH(注文書!$A6,W2Pデータ貼り付け!$AM:$AM,0)),"")</f>
        <v>東京都</v>
      </c>
      <c r="E7" s="18"/>
      <c r="F7" s="26">
        <f>_xlfn.IFNA(INDEX(W2Pデータ貼り付け!AK:AK,MATCH(注文書!$A6,W2Pデータ貼り付け!$AM:$AM,0)),"")</f>
        <v>127.1</v>
      </c>
      <c r="G7" s="27"/>
      <c r="H7" s="27"/>
      <c r="I7" s="27"/>
    </row>
    <row r="8" spans="1:9" ht="14.25" customHeight="1" x14ac:dyDescent="0.25">
      <c r="A8" s="218"/>
      <c r="B8" s="36">
        <f ca="1">IF(B6&lt;&gt;"",TODAY(),"")</f>
        <v>46040</v>
      </c>
      <c r="C8" s="221"/>
      <c r="D8" s="19" t="str">
        <f>_xlfn.IFNA(INDEX(W2Pデータ貼り付け!O:O,MATCH(注文書!$A6,W2Pデータ貼り付け!$AM:$AM,0)),"")</f>
        <v>港区 芝浦３-４-１</v>
      </c>
      <c r="E8" s="19" t="str">
        <f>_xlfn.IFNA(INDEX(W2Pデータ貼り付け!U:U,MATCH(注文書!$A6,W2Pデータ貼り付け!$AM:$AM,0)),"")</f>
        <v>ラヴィーレレジデンス徳川園【50部/1梱包】</v>
      </c>
      <c r="F8" s="28">
        <f>_xlfn.IFNA(INDEX(W2Pデータ貼り付け!AL:AL,MATCH(注文書!$A6,W2Pデータ貼り付け!$AM:$AM,0)),"")</f>
        <v>127.1</v>
      </c>
      <c r="G8" s="29"/>
      <c r="H8" s="29"/>
      <c r="I8" s="29"/>
    </row>
    <row r="9" spans="1:9" ht="14.25" customHeight="1" x14ac:dyDescent="0.25">
      <c r="A9" s="216">
        <v>2</v>
      </c>
      <c r="B9" s="22" t="str">
        <f>IFERROR(LEFT(_xlfn.IFNA(INDEX(W2Pデータ貼り付け!B:B,MATCH(注文書!$A9,W2Pデータ貼り付け!$AM:$AM,0)),""),FIND("-",_xlfn.IFNA(INDEX(W2Pデータ貼り付け!B:B,MATCH(注文書!$A9,W2Pデータ貼り付け!$AM:$AM,0)),""))-1),_xlfn.IFNA(INDEX(W2Pデータ貼り付け!B:B,MATCH(注文書!$A9,W2Pデータ貼り付け!$AM:$AM,0)),""))</f>
        <v>RSTES251023</v>
      </c>
      <c r="C9" s="219">
        <f>_xlfn.IFNA(DATEVALUE(TEXT(INDEX(W2Pデータ貼り付け!AF:AF,MATCH(注文書!$A9,W2Pデータ貼り付け!$AM:$AM,0)),"0000!/00!/00")),"")</f>
        <v>46044</v>
      </c>
      <c r="D9" s="17" t="str">
        <f>_xlfn.IFNA(INDEX(W2Pデータ貼り付け!M:M,MATCH(注文書!$A9,W2Pデータ貼り付け!$AM:$AM,0)),"")</f>
        <v>108-0023</v>
      </c>
      <c r="E9" s="17">
        <f>_xlfn.IFNA(INDEX(W2Pデータ貼り付け!T:T,MATCH(注文書!$A9,W2Pデータ貼り付け!$AM:$AM,0)),"")</f>
        <v>200627</v>
      </c>
      <c r="F9" s="23" t="str" cm="1">
        <f t="array" ref="F9">_xlfn.IFNA(_xlfn.SINGLE(INDEX(CONCATENATE(W2Pデータ貼り付け!V:V,"部"),MATCH(注文書!$A9,W2Pデータ貼り付け!$AM:$AM,0))),"")</f>
        <v>1部</v>
      </c>
      <c r="G9" s="24"/>
      <c r="H9" s="24"/>
      <c r="I9" s="24"/>
    </row>
    <row r="10" spans="1:9" ht="14.25" customHeight="1" x14ac:dyDescent="0.25">
      <c r="A10" s="217"/>
      <c r="B10" s="25" t="str">
        <f>IFERROR(MID(_xlfn.IFNA(INDEX(W2Pデータ貼り付け!B:B,MATCH(注文書!$A9,W2Pデータ貼り付け!$AM:$AM,0)),""),FIND("-",_xlfn.IFNA(INDEX(W2Pデータ貼り付け!B:B,MATCH(注文書!$A9,W2Pデータ貼り付け!$AM:$AM,0)),"")),LEN(_xlfn.IFNA(INDEX(W2Pデータ貼り付け!B:B,MATCH(注文書!$A9,W2Pデータ貼り付け!$AM:$AM,0)),""))),"")</f>
        <v>-0002</v>
      </c>
      <c r="C10" s="220"/>
      <c r="D10" s="18" t="str">
        <f>_xlfn.IFNA(INDEX(W2Pデータ貼り付け!N:N,MATCH(注文書!$A9,W2Pデータ貼り付け!$AM:$AM,0)),"")</f>
        <v>東京都</v>
      </c>
      <c r="E10" s="18"/>
      <c r="F10" s="26">
        <f>_xlfn.IFNA(INDEX(W2Pデータ貼り付け!AK:AK,MATCH(注文書!$A9,W2Pデータ貼り付け!$AM:$AM,0)),"")</f>
        <v>107.5</v>
      </c>
      <c r="G10" s="27"/>
      <c r="H10" s="27"/>
      <c r="I10" s="27"/>
    </row>
    <row r="11" spans="1:9" ht="14.25" customHeight="1" x14ac:dyDescent="0.25">
      <c r="A11" s="218"/>
      <c r="B11" s="36">
        <f ca="1">IF(B9&lt;&gt;"",TODAY(),"")</f>
        <v>46040</v>
      </c>
      <c r="C11" s="221"/>
      <c r="D11" s="19" t="str">
        <f>_xlfn.IFNA(INDEX(W2Pデータ貼り付け!O:O,MATCH(注文書!$A9,W2Pデータ貼り付け!$AM:$AM,0)),"")</f>
        <v>港区 芝浦３-４-１</v>
      </c>
      <c r="E11" s="19" t="str">
        <f>_xlfn.IFNA(INDEX(W2Pデータ貼り付け!U:U,MATCH(注文書!$A9,W2Pデータ貼り付け!$AM:$AM,0)),"")</f>
        <v>ラヴィ―レ厚木【50部/1梱包】</v>
      </c>
      <c r="F11" s="28">
        <f>_xlfn.IFNA(INDEX(W2Pデータ貼り付け!AL:AL,MATCH(注文書!$A9,W2Pデータ貼り付け!$AM:$AM,0)),"")</f>
        <v>107.5</v>
      </c>
      <c r="G11" s="29"/>
      <c r="H11" s="29"/>
      <c r="I11" s="29"/>
    </row>
    <row r="12" spans="1:9" ht="14.25" customHeight="1" x14ac:dyDescent="0.25">
      <c r="A12" s="216">
        <v>3</v>
      </c>
      <c r="B12" s="22" t="str">
        <f>IFERROR(LEFT(_xlfn.IFNA(INDEX(W2Pデータ貼り付け!B:B,MATCH(注文書!$A12,W2Pデータ貼り付け!$AM:$AM,0)),""),FIND("-",_xlfn.IFNA(INDEX(W2Pデータ貼り付け!B:B,MATCH(注文書!$A12,W2Pデータ貼り付け!$AM:$AM,0)),""))-1),_xlfn.IFNA(INDEX(W2Pデータ貼り付け!B:B,MATCH(注文書!$A12,W2Pデータ貼り付け!$AM:$AM,0)),""))</f>
        <v>RSTES251023</v>
      </c>
      <c r="C12" s="219">
        <f>_xlfn.IFNA(DATEVALUE(TEXT(INDEX(W2Pデータ貼り付け!AF:AF,MATCH(注文書!$A12,W2Pデータ貼り付け!$AM:$AM,0)),"0000!/00!/00")),"")</f>
        <v>46044</v>
      </c>
      <c r="D12" s="17" t="str">
        <f>_xlfn.IFNA(INDEX(W2Pデータ貼り付け!M:M,MATCH(注文書!$A12,W2Pデータ貼り付け!$AM:$AM,0)),"")</f>
        <v>108-0023</v>
      </c>
      <c r="E12" s="17">
        <f>_xlfn.IFNA(INDEX(W2Pデータ貼り付け!T:T,MATCH(注文書!$A12,W2Pデータ貼り付け!$AM:$AM,0)),"")</f>
        <v>200627</v>
      </c>
      <c r="F12" s="23" t="str" cm="1">
        <f t="array" ref="F12">_xlfn.IFNA(_xlfn.SINGLE(INDEX(CONCATENATE(W2Pデータ貼り付け!V:V,"部"),MATCH(注文書!$A12,W2Pデータ貼り付け!$AM:$AM,0))),"")</f>
        <v>1部</v>
      </c>
      <c r="G12" s="24"/>
      <c r="H12" s="24"/>
      <c r="I12" s="24"/>
    </row>
    <row r="13" spans="1:9" ht="14.25" customHeight="1" x14ac:dyDescent="0.25">
      <c r="A13" s="217"/>
      <c r="B13" s="25" t="str">
        <f>IFERROR(MID(_xlfn.IFNA(INDEX(W2Pデータ貼り付け!B:B,MATCH(注文書!$A12,W2Pデータ貼り付け!$AM:$AM,0)),""),FIND("-",_xlfn.IFNA(INDEX(W2Pデータ貼り付け!B:B,MATCH(注文書!$A12,W2Pデータ貼り付け!$AM:$AM,0)),"")),LEN(_xlfn.IFNA(INDEX(W2Pデータ貼り付け!B:B,MATCH(注文書!$A12,W2Pデータ貼り付け!$AM:$AM,0)),""))),"")</f>
        <v>-0006</v>
      </c>
      <c r="C13" s="220"/>
      <c r="D13" s="18" t="str">
        <f>_xlfn.IFNA(INDEX(W2Pデータ貼り付け!N:N,MATCH(注文書!$A12,W2Pデータ貼り付け!$AM:$AM,0)),"")</f>
        <v>東京都</v>
      </c>
      <c r="E13" s="18"/>
      <c r="F13" s="26">
        <f>_xlfn.IFNA(INDEX(W2Pデータ貼り付け!AK:AK,MATCH(注文書!$A12,W2Pデータ貼り付け!$AM:$AM,0)),"")</f>
        <v>107.5</v>
      </c>
      <c r="G13" s="27"/>
      <c r="H13" s="27"/>
      <c r="I13" s="27"/>
    </row>
    <row r="14" spans="1:9" ht="14.25" customHeight="1" x14ac:dyDescent="0.25">
      <c r="A14" s="218"/>
      <c r="B14" s="36">
        <f ca="1">IF(B12&lt;&gt;"",TODAY(),"")</f>
        <v>46040</v>
      </c>
      <c r="C14" s="221"/>
      <c r="D14" s="19" t="str">
        <f>_xlfn.IFNA(INDEX(W2Pデータ貼り付け!O:O,MATCH(注文書!$A12,W2Pデータ貼り付け!$AM:$AM,0)),"")</f>
        <v>港区 芝浦３-４-１</v>
      </c>
      <c r="E14" s="19" t="str">
        <f>_xlfn.IFNA(INDEX(W2Pデータ貼り付け!U:U,MATCH(注文書!$A12,W2Pデータ貼り付け!$AM:$AM,0)),"")</f>
        <v>ラヴィ―レ厚木【50部/1梱包】</v>
      </c>
      <c r="F14" s="28">
        <f>_xlfn.IFNA(INDEX(W2Pデータ貼り付け!AL:AL,MATCH(注文書!$A12,W2Pデータ貼り付け!$AM:$AM,0)),"")</f>
        <v>107.5</v>
      </c>
      <c r="G14" s="29"/>
      <c r="H14" s="29"/>
      <c r="I14" s="29"/>
    </row>
    <row r="15" spans="1:9" ht="14.25" customHeight="1" x14ac:dyDescent="0.25">
      <c r="A15" s="216">
        <v>4</v>
      </c>
      <c r="B15" s="22" t="str">
        <f>IFERROR(LEFT(_xlfn.IFNA(INDEX(W2Pデータ貼り付け!B:B,MATCH(注文書!$A15,W2Pデータ貼り付け!$AM:$AM,0)),""),FIND("-",_xlfn.IFNA(INDEX(W2Pデータ貼り付け!B:B,MATCH(注文書!$A15,W2Pデータ貼り付け!$AM:$AM,0)),""))-1),_xlfn.IFNA(INDEX(W2Pデータ貼り付け!B:B,MATCH(注文書!$A15,W2Pデータ貼り付け!$AM:$AM,0)),""))</f>
        <v/>
      </c>
      <c r="C15" s="219" t="str">
        <f>_xlfn.IFNA(DATEVALUE(TEXT(INDEX(W2Pデータ貼り付け!AF:AF,MATCH(注文書!$A15,W2Pデータ貼り付け!$AM:$AM,0)),"0000!/00!/00")),"")</f>
        <v/>
      </c>
      <c r="D15" s="17" t="str">
        <f>_xlfn.IFNA(INDEX(W2Pデータ貼り付け!M:M,MATCH(注文書!$A15,W2Pデータ貼り付け!$AM:$AM,0)),"")</f>
        <v/>
      </c>
      <c r="E15" s="17" t="str">
        <f>_xlfn.IFNA(INDEX(W2Pデータ貼り付け!T:T,MATCH(注文書!$A15,W2Pデータ貼り付け!$AM:$AM,0)),"")</f>
        <v/>
      </c>
      <c r="F15" s="23" t="str" cm="1">
        <f t="array" ref="F15">_xlfn.IFNA(_xlfn.SINGLE(INDEX(CONCATENATE(W2Pデータ貼り付け!V:V,"部"),MATCH(注文書!$A15,W2Pデータ貼り付け!$AM:$AM,0))),"")</f>
        <v/>
      </c>
      <c r="G15" s="24"/>
      <c r="H15" s="24"/>
      <c r="I15" s="24"/>
    </row>
    <row r="16" spans="1:9" ht="14.25" customHeight="1" x14ac:dyDescent="0.25">
      <c r="A16" s="217"/>
      <c r="B16" s="25" t="str">
        <f>IFERROR(MID(_xlfn.IFNA(INDEX(W2Pデータ貼り付け!B:B,MATCH(注文書!$A15,W2Pデータ貼り付け!$AM:$AM,0)),""),FIND("-",_xlfn.IFNA(INDEX(W2Pデータ貼り付け!B:B,MATCH(注文書!$A15,W2Pデータ貼り付け!$AM:$AM,0)),"")),LEN(_xlfn.IFNA(INDEX(W2Pデータ貼り付け!B:B,MATCH(注文書!$A15,W2Pデータ貼り付け!$AM:$AM,0)),""))),"")</f>
        <v/>
      </c>
      <c r="C16" s="220"/>
      <c r="D16" s="18" t="str">
        <f>_xlfn.IFNA(INDEX(W2Pデータ貼り付け!N:N,MATCH(注文書!$A15,W2Pデータ貼り付け!$AM:$AM,0)),"")</f>
        <v/>
      </c>
      <c r="E16" s="18"/>
      <c r="F16" s="26" t="str">
        <f>_xlfn.IFNA(INDEX(W2Pデータ貼り付け!AK:AK,MATCH(注文書!$A15,W2Pデータ貼り付け!$AM:$AM,0)),"")</f>
        <v/>
      </c>
      <c r="G16" s="27"/>
      <c r="H16" s="27"/>
      <c r="I16" s="27"/>
    </row>
    <row r="17" spans="1:9" ht="14.25" customHeight="1" x14ac:dyDescent="0.25">
      <c r="A17" s="218"/>
      <c r="B17" s="36" t="str">
        <f ca="1">IF(B15&lt;&gt;"",TODAY(),"")</f>
        <v/>
      </c>
      <c r="C17" s="221"/>
      <c r="D17" s="19" t="str">
        <f>_xlfn.IFNA(INDEX(W2Pデータ貼り付け!O:O,MATCH(注文書!$A15,W2Pデータ貼り付け!$AM:$AM,0)),"")</f>
        <v/>
      </c>
      <c r="E17" s="19" t="str">
        <f>_xlfn.IFNA(INDEX(W2Pデータ貼り付け!U:U,MATCH(注文書!$A15,W2Pデータ貼り付け!$AM:$AM,0)),"")</f>
        <v/>
      </c>
      <c r="F17" s="28" t="str">
        <f>_xlfn.IFNA(INDEX(W2Pデータ貼り付け!AL:AL,MATCH(注文書!$A15,W2Pデータ貼り付け!$AM:$AM,0)),"")</f>
        <v/>
      </c>
      <c r="G17" s="29"/>
      <c r="H17" s="29"/>
      <c r="I17" s="29"/>
    </row>
    <row r="18" spans="1:9" ht="14.25" customHeight="1" x14ac:dyDescent="0.25">
      <c r="A18" s="216">
        <v>5</v>
      </c>
      <c r="B18" s="22" t="str">
        <f>IFERROR(LEFT(_xlfn.IFNA(INDEX(W2Pデータ貼り付け!B:B,MATCH(注文書!$A18,W2Pデータ貼り付け!$AM:$AM,0)),""),FIND("-",_xlfn.IFNA(INDEX(W2Pデータ貼り付け!B:B,MATCH(注文書!$A18,W2Pデータ貼り付け!$AM:$AM,0)),""))-1),_xlfn.IFNA(INDEX(W2Pデータ貼り付け!B:B,MATCH(注文書!$A18,W2Pデータ貼り付け!$AM:$AM,0)),""))</f>
        <v/>
      </c>
      <c r="C18" s="219" t="str">
        <f>_xlfn.IFNA(DATEVALUE(TEXT(INDEX(W2Pデータ貼り付け!AF:AF,MATCH(注文書!$A18,W2Pデータ貼り付け!$AM:$AM,0)),"0000!/00!/00")),"")</f>
        <v/>
      </c>
      <c r="D18" s="17" t="str">
        <f>_xlfn.IFNA(INDEX(W2Pデータ貼り付け!M:M,MATCH(注文書!$A18,W2Pデータ貼り付け!$AM:$AM,0)),"")</f>
        <v/>
      </c>
      <c r="E18" s="17" t="str">
        <f>_xlfn.IFNA(INDEX(W2Pデータ貼り付け!T:T,MATCH(注文書!$A18,W2Pデータ貼り付け!$AM:$AM,0)),"")</f>
        <v/>
      </c>
      <c r="F18" s="23" t="str" cm="1">
        <f t="array" ref="F18">_xlfn.IFNA(_xlfn.SINGLE(INDEX(CONCATENATE(W2Pデータ貼り付け!V:V,"部"),MATCH(注文書!$A18,W2Pデータ貼り付け!$AM:$AM,0))),"")</f>
        <v/>
      </c>
      <c r="G18" s="24"/>
      <c r="H18" s="24"/>
      <c r="I18" s="24"/>
    </row>
    <row r="19" spans="1:9" ht="14.25" customHeight="1" x14ac:dyDescent="0.25">
      <c r="A19" s="217"/>
      <c r="B19" s="25" t="str">
        <f>IFERROR(MID(_xlfn.IFNA(INDEX(W2Pデータ貼り付け!B:B,MATCH(注文書!$A18,W2Pデータ貼り付け!$AM:$AM,0)),""),FIND("-",_xlfn.IFNA(INDEX(W2Pデータ貼り付け!B:B,MATCH(注文書!$A18,W2Pデータ貼り付け!$AM:$AM,0)),"")),LEN(_xlfn.IFNA(INDEX(W2Pデータ貼り付け!B:B,MATCH(注文書!$A18,W2Pデータ貼り付け!$AM:$AM,0)),""))),"")</f>
        <v/>
      </c>
      <c r="C19" s="220"/>
      <c r="D19" s="18" t="str">
        <f>_xlfn.IFNA(INDEX(W2Pデータ貼り付け!N:N,MATCH(注文書!$A18,W2Pデータ貼り付け!$AM:$AM,0)),"")</f>
        <v/>
      </c>
      <c r="E19" s="18"/>
      <c r="F19" s="26" t="str">
        <f>_xlfn.IFNA(INDEX(W2Pデータ貼り付け!AK:AK,MATCH(注文書!$A18,W2Pデータ貼り付け!$AM:$AM,0)),"")</f>
        <v/>
      </c>
      <c r="G19" s="27"/>
      <c r="H19" s="27"/>
      <c r="I19" s="27"/>
    </row>
    <row r="20" spans="1:9" ht="14.25" customHeight="1" x14ac:dyDescent="0.25">
      <c r="A20" s="218"/>
      <c r="B20" s="36" t="str">
        <f ca="1">IF(B18&lt;&gt;"",TODAY(),"")</f>
        <v/>
      </c>
      <c r="C20" s="221"/>
      <c r="D20" s="19" t="str">
        <f>_xlfn.IFNA(INDEX(W2Pデータ貼り付け!O:O,MATCH(注文書!$A18,W2Pデータ貼り付け!$AM:$AM,0)),"")</f>
        <v/>
      </c>
      <c r="E20" s="19" t="str">
        <f>_xlfn.IFNA(INDEX(W2Pデータ貼り付け!U:U,MATCH(注文書!$A18,W2Pデータ貼り付け!$AM:$AM,0)),"")</f>
        <v/>
      </c>
      <c r="F20" s="28" t="str">
        <f>_xlfn.IFNA(INDEX(W2Pデータ貼り付け!AL:AL,MATCH(注文書!$A18,W2Pデータ貼り付け!$AM:$AM,0)),"")</f>
        <v/>
      </c>
      <c r="G20" s="29"/>
      <c r="H20" s="29"/>
      <c r="I20" s="29"/>
    </row>
    <row r="21" spans="1:9" ht="14.25" customHeight="1" x14ac:dyDescent="0.25">
      <c r="A21" s="216">
        <v>6</v>
      </c>
      <c r="B21" s="22" t="str">
        <f>IFERROR(LEFT(_xlfn.IFNA(INDEX(W2Pデータ貼り付け!B:B,MATCH(注文書!$A21,W2Pデータ貼り付け!$AM:$AM,0)),""),FIND("-",_xlfn.IFNA(INDEX(W2Pデータ貼り付け!B:B,MATCH(注文書!$A21,W2Pデータ貼り付け!$AM:$AM,0)),""))-1),_xlfn.IFNA(INDEX(W2Pデータ貼り付け!B:B,MATCH(注文書!$A21,W2Pデータ貼り付け!$AM:$AM,0)),""))</f>
        <v/>
      </c>
      <c r="C21" s="219" t="str">
        <f>_xlfn.IFNA(DATEVALUE(TEXT(INDEX(W2Pデータ貼り付け!AF:AF,MATCH(注文書!$A21,W2Pデータ貼り付け!$AM:$AM,0)),"0000!/00!/00")),"")</f>
        <v/>
      </c>
      <c r="D21" s="17" t="str">
        <f>_xlfn.IFNA(INDEX(W2Pデータ貼り付け!M:M,MATCH(注文書!$A21,W2Pデータ貼り付け!$AM:$AM,0)),"")</f>
        <v/>
      </c>
      <c r="E21" s="17" t="str">
        <f>_xlfn.IFNA(INDEX(W2Pデータ貼り付け!T:T,MATCH(注文書!$A21,W2Pデータ貼り付け!$AM:$AM,0)),"")</f>
        <v/>
      </c>
      <c r="F21" s="23" t="str" cm="1">
        <f t="array" ref="F21">_xlfn.IFNA(_xlfn.SINGLE(INDEX(CONCATENATE(W2Pデータ貼り付け!V:V,"部"),MATCH(注文書!$A21,W2Pデータ貼り付け!$AM:$AM,0))),"")</f>
        <v/>
      </c>
      <c r="G21" s="24"/>
      <c r="H21" s="24"/>
      <c r="I21" s="24"/>
    </row>
    <row r="22" spans="1:9" ht="14.25" customHeight="1" x14ac:dyDescent="0.25">
      <c r="A22" s="217"/>
      <c r="B22" s="25" t="str">
        <f>IFERROR(MID(_xlfn.IFNA(INDEX(W2Pデータ貼り付け!B:B,MATCH(注文書!$A21,W2Pデータ貼り付け!$AM:$AM,0)),""),FIND("-",_xlfn.IFNA(INDEX(W2Pデータ貼り付け!B:B,MATCH(注文書!$A21,W2Pデータ貼り付け!$AM:$AM,0)),"")),LEN(_xlfn.IFNA(INDEX(W2Pデータ貼り付け!B:B,MATCH(注文書!$A21,W2Pデータ貼り付け!$AM:$AM,0)),""))),"")</f>
        <v/>
      </c>
      <c r="C22" s="220"/>
      <c r="D22" s="18" t="str">
        <f>_xlfn.IFNA(INDEX(W2Pデータ貼り付け!N:N,MATCH(注文書!$A21,W2Pデータ貼り付け!$AM:$AM,0)),"")</f>
        <v/>
      </c>
      <c r="E22" s="18"/>
      <c r="F22" s="26" t="str">
        <f>_xlfn.IFNA(INDEX(W2Pデータ貼り付け!AK:AK,MATCH(注文書!$A21,W2Pデータ貼り付け!$AM:$AM,0)),"")</f>
        <v/>
      </c>
      <c r="G22" s="27"/>
      <c r="H22" s="27"/>
      <c r="I22" s="27"/>
    </row>
    <row r="23" spans="1:9" ht="14.25" customHeight="1" x14ac:dyDescent="0.25">
      <c r="A23" s="218"/>
      <c r="B23" s="36" t="str">
        <f ca="1">IF(B21&lt;&gt;"",TODAY(),"")</f>
        <v/>
      </c>
      <c r="C23" s="221"/>
      <c r="D23" s="19" t="str">
        <f>_xlfn.IFNA(INDEX(W2Pデータ貼り付け!O:O,MATCH(注文書!$A21,W2Pデータ貼り付け!$AM:$AM,0)),"")</f>
        <v/>
      </c>
      <c r="E23" s="19" t="str">
        <f>_xlfn.IFNA(INDEX(W2Pデータ貼り付け!U:U,MATCH(注文書!$A21,W2Pデータ貼り付け!$AM:$AM,0)),"")</f>
        <v/>
      </c>
      <c r="F23" s="28" t="str">
        <f>_xlfn.IFNA(INDEX(W2Pデータ貼り付け!AL:AL,MATCH(注文書!$A21,W2Pデータ貼り付け!$AM:$AM,0)),"")</f>
        <v/>
      </c>
      <c r="G23" s="29"/>
      <c r="H23" s="29"/>
      <c r="I23" s="29"/>
    </row>
    <row r="24" spans="1:9" ht="14.25" customHeight="1" x14ac:dyDescent="0.25">
      <c r="A24" s="216">
        <v>7</v>
      </c>
      <c r="B24" s="22" t="str">
        <f>IFERROR(LEFT(_xlfn.IFNA(INDEX(W2Pデータ貼り付け!B:B,MATCH(注文書!$A24,W2Pデータ貼り付け!$AM:$AM,0)),""),FIND("-",_xlfn.IFNA(INDEX(W2Pデータ貼り付け!B:B,MATCH(注文書!$A24,W2Pデータ貼り付け!$AM:$AM,0)),""))-1),_xlfn.IFNA(INDEX(W2Pデータ貼り付け!B:B,MATCH(注文書!$A24,W2Pデータ貼り付け!$AM:$AM,0)),""))</f>
        <v/>
      </c>
      <c r="C24" s="222" t="str">
        <f>_xlfn.IFNA(DATEVALUE(TEXT(INDEX(W2Pデータ貼り付け!AF:AF,MATCH(注文書!$A24,W2Pデータ貼り付け!$AM:$AM,0)),"0000!/00!/00")),"")</f>
        <v/>
      </c>
      <c r="D24" s="17" t="str">
        <f>_xlfn.IFNA(INDEX(W2Pデータ貼り付け!M:M,MATCH(注文書!$A24,W2Pデータ貼り付け!$AM:$AM,0)),"")</f>
        <v/>
      </c>
      <c r="E24" s="17" t="str">
        <f>_xlfn.IFNA(INDEX(W2Pデータ貼り付け!T:T,MATCH(注文書!$A24,W2Pデータ貼り付け!$AM:$AM,0)),"")</f>
        <v/>
      </c>
      <c r="F24" s="23" t="str" cm="1">
        <f t="array" ref="F24">_xlfn.IFNA(_xlfn.SINGLE(INDEX(CONCATENATE(W2Pデータ貼り付け!V:V,"部"),MATCH(注文書!$A24,W2Pデータ貼り付け!$AM:$AM,0))),"")</f>
        <v/>
      </c>
      <c r="G24" s="24"/>
      <c r="H24" s="24"/>
      <c r="I24" s="24"/>
    </row>
    <row r="25" spans="1:9" ht="14.25" customHeight="1" x14ac:dyDescent="0.25">
      <c r="A25" s="217"/>
      <c r="B25" s="25" t="str">
        <f>IFERROR(MID(_xlfn.IFNA(INDEX(W2Pデータ貼り付け!B:B,MATCH(注文書!$A24,W2Pデータ貼り付け!$AM:$AM,0)),""),FIND("-",_xlfn.IFNA(INDEX(W2Pデータ貼り付け!B:B,MATCH(注文書!$A24,W2Pデータ貼り付け!$AM:$AM,0)),"")),LEN(_xlfn.IFNA(INDEX(W2Pデータ貼り付け!B:B,MATCH(注文書!$A24,W2Pデータ貼り付け!$AM:$AM,0)),""))),"")</f>
        <v/>
      </c>
      <c r="C25" s="223"/>
      <c r="D25" s="18" t="str">
        <f>_xlfn.IFNA(INDEX(W2Pデータ貼り付け!N:N,MATCH(注文書!$A24,W2Pデータ貼り付け!$AM:$AM,0)),"")</f>
        <v/>
      </c>
      <c r="E25" s="18"/>
      <c r="F25" s="26" t="str">
        <f>_xlfn.IFNA(INDEX(W2Pデータ貼り付け!AK:AK,MATCH(注文書!$A24,W2Pデータ貼り付け!$AM:$AM,0)),"")</f>
        <v/>
      </c>
      <c r="G25" s="27"/>
      <c r="H25" s="27"/>
      <c r="I25" s="27"/>
    </row>
    <row r="26" spans="1:9" ht="14.25" customHeight="1" x14ac:dyDescent="0.25">
      <c r="A26" s="218"/>
      <c r="B26" s="36" t="str">
        <f ca="1">IF(B24&lt;&gt;"",TODAY(),"")</f>
        <v/>
      </c>
      <c r="C26" s="224"/>
      <c r="D26" s="19" t="str">
        <f>_xlfn.IFNA(INDEX(W2Pデータ貼り付け!O:O,MATCH(注文書!$A24,W2Pデータ貼り付け!$AM:$AM,0)),"")</f>
        <v/>
      </c>
      <c r="E26" s="19" t="str">
        <f>_xlfn.IFNA(INDEX(W2Pデータ貼り付け!U:U,MATCH(注文書!$A24,W2Pデータ貼り付け!$AM:$AM,0)),"")</f>
        <v/>
      </c>
      <c r="F26" s="28" t="str">
        <f>_xlfn.IFNA(INDEX(W2Pデータ貼り付け!AL:AL,MATCH(注文書!$A24,W2Pデータ貼り付け!$AM:$AM,0)),"")</f>
        <v/>
      </c>
      <c r="G26" s="29"/>
      <c r="H26" s="29"/>
      <c r="I26" s="29"/>
    </row>
    <row r="27" spans="1:9" ht="14.25" customHeight="1" x14ac:dyDescent="0.25">
      <c r="A27" s="216">
        <v>8</v>
      </c>
      <c r="B27" s="22" t="str">
        <f>IFERROR(LEFT(_xlfn.IFNA(INDEX(W2Pデータ貼り付け!B:B,MATCH(注文書!$A27,W2Pデータ貼り付け!$AM:$AM,0)),""),FIND("-",_xlfn.IFNA(INDEX(W2Pデータ貼り付け!B:B,MATCH(注文書!$A27,W2Pデータ貼り付け!$AM:$AM,0)),""))-1),_xlfn.IFNA(INDEX(W2Pデータ貼り付け!B:B,MATCH(注文書!$A27,W2Pデータ貼り付け!$AM:$AM,0)),""))</f>
        <v/>
      </c>
      <c r="C27" s="222" t="str">
        <f>_xlfn.IFNA(DATEVALUE(TEXT(INDEX(W2Pデータ貼り付け!AF:AF,MATCH(注文書!$A27,W2Pデータ貼り付け!$AM:$AM,0)),"0000!/00!/00")),"")</f>
        <v/>
      </c>
      <c r="D27" s="17" t="str">
        <f>_xlfn.IFNA(INDEX(W2Pデータ貼り付け!M:M,MATCH(注文書!$A27,W2Pデータ貼り付け!$AM:$AM,0)),"")</f>
        <v/>
      </c>
      <c r="E27" s="17" t="str">
        <f>_xlfn.IFNA(INDEX(W2Pデータ貼り付け!T:T,MATCH(注文書!$A27,W2Pデータ貼り付け!$AM:$AM,0)),"")</f>
        <v/>
      </c>
      <c r="F27" s="23" t="str" cm="1">
        <f t="array" ref="F27">_xlfn.IFNA(_xlfn.SINGLE(INDEX(CONCATENATE(W2Pデータ貼り付け!V:V,"部"),MATCH(注文書!$A27,W2Pデータ貼り付け!$AM:$AM,0))),"")</f>
        <v/>
      </c>
      <c r="G27" s="24"/>
      <c r="H27" s="24"/>
      <c r="I27" s="24"/>
    </row>
    <row r="28" spans="1:9" ht="14.25" customHeight="1" x14ac:dyDescent="0.25">
      <c r="A28" s="217"/>
      <c r="B28" s="25" t="str">
        <f>IFERROR(MID(_xlfn.IFNA(INDEX(W2Pデータ貼り付け!B:B,MATCH(注文書!$A27,W2Pデータ貼り付け!$AM:$AM,0)),""),FIND("-",_xlfn.IFNA(INDEX(W2Pデータ貼り付け!B:B,MATCH(注文書!$A27,W2Pデータ貼り付け!$AM:$AM,0)),"")),LEN(_xlfn.IFNA(INDEX(W2Pデータ貼り付け!B:B,MATCH(注文書!$A27,W2Pデータ貼り付け!$AM:$AM,0)),""))),"")</f>
        <v/>
      </c>
      <c r="C28" s="223"/>
      <c r="D28" s="18" t="str">
        <f>_xlfn.IFNA(INDEX(W2Pデータ貼り付け!N:N,MATCH(注文書!$A27,W2Pデータ貼り付け!$AM:$AM,0)),"")</f>
        <v/>
      </c>
      <c r="E28" s="18"/>
      <c r="F28" s="26" t="str">
        <f>_xlfn.IFNA(INDEX(W2Pデータ貼り付け!AK:AK,MATCH(注文書!$A27,W2Pデータ貼り付け!$AM:$AM,0)),"")</f>
        <v/>
      </c>
      <c r="G28" s="27"/>
      <c r="H28" s="27"/>
      <c r="I28" s="27"/>
    </row>
    <row r="29" spans="1:9" ht="14.25" customHeight="1" x14ac:dyDescent="0.25">
      <c r="A29" s="218"/>
      <c r="B29" s="36" t="str">
        <f ca="1">IF(B27&lt;&gt;"",TODAY(),"")</f>
        <v/>
      </c>
      <c r="C29" s="224"/>
      <c r="D29" s="19" t="str">
        <f>_xlfn.IFNA(INDEX(W2Pデータ貼り付け!O:O,MATCH(注文書!$A27,W2Pデータ貼り付け!$AM:$AM,0)),"")</f>
        <v/>
      </c>
      <c r="E29" s="19" t="str">
        <f>_xlfn.IFNA(INDEX(W2Pデータ貼り付け!U:U,MATCH(注文書!$A27,W2Pデータ貼り付け!$AM:$AM,0)),"")</f>
        <v/>
      </c>
      <c r="F29" s="28" t="str">
        <f>_xlfn.IFNA(INDEX(W2Pデータ貼り付け!AL:AL,MATCH(注文書!$A27,W2Pデータ貼り付け!$AM:$AM,0)),"")</f>
        <v/>
      </c>
      <c r="G29" s="29"/>
      <c r="H29" s="29"/>
      <c r="I29" s="29"/>
    </row>
    <row r="30" spans="1:9" ht="14.25" customHeight="1" x14ac:dyDescent="0.25">
      <c r="A30" s="216">
        <v>9</v>
      </c>
      <c r="B30" s="22" t="str">
        <f>IFERROR(LEFT(_xlfn.IFNA(INDEX(W2Pデータ貼り付け!B:B,MATCH(注文書!$A30,W2Pデータ貼り付け!$AM:$AM,0)),""),FIND("-",_xlfn.IFNA(INDEX(W2Pデータ貼り付け!B:B,MATCH(注文書!$A30,W2Pデータ貼り付け!$AM:$AM,0)),""))-1),_xlfn.IFNA(INDEX(W2Pデータ貼り付け!B:B,MATCH(注文書!$A30,W2Pデータ貼り付け!$AM:$AM,0)),""))</f>
        <v/>
      </c>
      <c r="C30" s="222" t="str">
        <f>_xlfn.IFNA(DATEVALUE(TEXT(INDEX(W2Pデータ貼り付け!AF:AF,MATCH(注文書!$A30,W2Pデータ貼り付け!$AM:$AM,0)),"0000!/00!/00")),"")</f>
        <v/>
      </c>
      <c r="D30" s="17" t="str">
        <f>_xlfn.IFNA(INDEX(W2Pデータ貼り付け!M:M,MATCH(注文書!$A30,W2Pデータ貼り付け!$AM:$AM,0)),"")</f>
        <v/>
      </c>
      <c r="E30" s="17" t="str">
        <f>_xlfn.IFNA(INDEX(W2Pデータ貼り付け!T:T,MATCH(注文書!$A30,W2Pデータ貼り付け!$AM:$AM,0)),"")</f>
        <v/>
      </c>
      <c r="F30" s="23" t="str" cm="1">
        <f t="array" ref="F30">_xlfn.IFNA(_xlfn.SINGLE(INDEX(CONCATENATE(W2Pデータ貼り付け!V:V,"部"),MATCH(注文書!$A30,W2Pデータ貼り付け!$AM:$AM,0))),"")</f>
        <v/>
      </c>
      <c r="G30" s="24"/>
      <c r="H30" s="24"/>
      <c r="I30" s="24"/>
    </row>
    <row r="31" spans="1:9" ht="14.25" customHeight="1" x14ac:dyDescent="0.25">
      <c r="A31" s="217"/>
      <c r="B31" s="25" t="str">
        <f>IFERROR(MID(_xlfn.IFNA(INDEX(W2Pデータ貼り付け!B:B,MATCH(注文書!$A30,W2Pデータ貼り付け!$AM:$AM,0)),""),FIND("-",_xlfn.IFNA(INDEX(W2Pデータ貼り付け!B:B,MATCH(注文書!$A30,W2Pデータ貼り付け!$AM:$AM,0)),"")),LEN(_xlfn.IFNA(INDEX(W2Pデータ貼り付け!B:B,MATCH(注文書!$A30,W2Pデータ貼り付け!$AM:$AM,0)),""))),"")</f>
        <v/>
      </c>
      <c r="C31" s="223"/>
      <c r="D31" s="18" t="str">
        <f>_xlfn.IFNA(INDEX(W2Pデータ貼り付け!N:N,MATCH(注文書!$A30,W2Pデータ貼り付け!$AM:$AM,0)),"")</f>
        <v/>
      </c>
      <c r="E31" s="18"/>
      <c r="F31" s="26" t="str">
        <f>_xlfn.IFNA(INDEX(W2Pデータ貼り付け!AK:AK,MATCH(注文書!$A30,W2Pデータ貼り付け!$AM:$AM,0)),"")</f>
        <v/>
      </c>
      <c r="G31" s="27"/>
      <c r="H31" s="27"/>
      <c r="I31" s="27"/>
    </row>
    <row r="32" spans="1:9" ht="14.25" customHeight="1" x14ac:dyDescent="0.25">
      <c r="A32" s="218"/>
      <c r="B32" s="36" t="str">
        <f ca="1">IF(B30&lt;&gt;"",TODAY(),"")</f>
        <v/>
      </c>
      <c r="C32" s="224"/>
      <c r="D32" s="19" t="str">
        <f>_xlfn.IFNA(INDEX(W2Pデータ貼り付け!O:O,MATCH(注文書!$A30,W2Pデータ貼り付け!$AM:$AM,0)),"")</f>
        <v/>
      </c>
      <c r="E32" s="19" t="str">
        <f>_xlfn.IFNA(INDEX(W2Pデータ貼り付け!U:U,MATCH(注文書!$A30,W2Pデータ貼り付け!$AM:$AM,0)),"")</f>
        <v/>
      </c>
      <c r="F32" s="28" t="str">
        <f>_xlfn.IFNA(INDEX(W2Pデータ貼り付け!AL:AL,MATCH(注文書!$A30,W2Pデータ貼り付け!$AM:$AM,0)),"")</f>
        <v/>
      </c>
      <c r="G32" s="29"/>
      <c r="H32" s="29"/>
      <c r="I32" s="29"/>
    </row>
    <row r="33" spans="1:9" ht="14.25" customHeight="1" x14ac:dyDescent="0.25">
      <c r="A33" s="216">
        <v>10</v>
      </c>
      <c r="B33" s="22" t="str">
        <f>IFERROR(LEFT(_xlfn.IFNA(INDEX(W2Pデータ貼り付け!B:B,MATCH(注文書!$A33,W2Pデータ貼り付け!$AM:$AM,0)),""),FIND("-",_xlfn.IFNA(INDEX(W2Pデータ貼り付け!B:B,MATCH(注文書!$A33,W2Pデータ貼り付け!$AM:$AM,0)),""))-1),_xlfn.IFNA(INDEX(W2Pデータ貼り付け!B:B,MATCH(注文書!$A33,W2Pデータ貼り付け!$AM:$AM,0)),""))</f>
        <v/>
      </c>
      <c r="C33" s="222" t="str">
        <f>_xlfn.IFNA(DATEVALUE(TEXT(INDEX(W2Pデータ貼り付け!AF:AF,MATCH(注文書!$A33,W2Pデータ貼り付け!$AM:$AM,0)),"0000!/00!/00")),"")</f>
        <v/>
      </c>
      <c r="D33" s="17" t="str">
        <f>_xlfn.IFNA(INDEX(W2Pデータ貼り付け!M:M,MATCH(注文書!$A33,W2Pデータ貼り付け!$AM:$AM,0)),"")</f>
        <v/>
      </c>
      <c r="E33" s="17" t="str">
        <f>_xlfn.IFNA(INDEX(W2Pデータ貼り付け!T:T,MATCH(注文書!$A33,W2Pデータ貼り付け!$AM:$AM,0)),"")</f>
        <v/>
      </c>
      <c r="F33" s="23" t="str" cm="1">
        <f t="array" ref="F33">_xlfn.IFNA(_xlfn.SINGLE(INDEX(CONCATENATE(W2Pデータ貼り付け!V:V,"部"),MATCH(注文書!$A33,W2Pデータ貼り付け!$AM:$AM,0))),"")</f>
        <v/>
      </c>
      <c r="G33" s="24"/>
      <c r="H33" s="24"/>
      <c r="I33" s="24"/>
    </row>
    <row r="34" spans="1:9" ht="14.25" customHeight="1" x14ac:dyDescent="0.25">
      <c r="A34" s="217"/>
      <c r="B34" s="25" t="str">
        <f>IFERROR(MID(_xlfn.IFNA(INDEX(W2Pデータ貼り付け!B:B,MATCH(注文書!$A33,W2Pデータ貼り付け!$AM:$AM,0)),""),FIND("-",_xlfn.IFNA(INDEX(W2Pデータ貼り付け!B:B,MATCH(注文書!$A33,W2Pデータ貼り付け!$AM:$AM,0)),"")),LEN(_xlfn.IFNA(INDEX(W2Pデータ貼り付け!B:B,MATCH(注文書!$A33,W2Pデータ貼り付け!$AM:$AM,0)),""))),"")</f>
        <v/>
      </c>
      <c r="C34" s="223"/>
      <c r="D34" s="18" t="str">
        <f>_xlfn.IFNA(INDEX(W2Pデータ貼り付け!N:N,MATCH(注文書!$A33,W2Pデータ貼り付け!$AM:$AM,0)),"")</f>
        <v/>
      </c>
      <c r="E34" s="18"/>
      <c r="F34" s="26" t="str">
        <f>_xlfn.IFNA(INDEX(W2Pデータ貼り付け!AK:AK,MATCH(注文書!$A33,W2Pデータ貼り付け!$AM:$AM,0)),"")</f>
        <v/>
      </c>
      <c r="G34" s="27"/>
      <c r="H34" s="27"/>
      <c r="I34" s="27"/>
    </row>
    <row r="35" spans="1:9" ht="14.25" customHeight="1" x14ac:dyDescent="0.25">
      <c r="A35" s="218"/>
      <c r="B35" s="36" t="str">
        <f ca="1">IF(B33&lt;&gt;"",TODAY(),"")</f>
        <v/>
      </c>
      <c r="C35" s="224"/>
      <c r="D35" s="19" t="str">
        <f>_xlfn.IFNA(INDEX(W2Pデータ貼り付け!O:O,MATCH(注文書!$A33,W2Pデータ貼り付け!$AM:$AM,0)),"")</f>
        <v/>
      </c>
      <c r="E35" s="19" t="str">
        <f>_xlfn.IFNA(INDEX(W2Pデータ貼り付け!U:U,MATCH(注文書!$A33,W2Pデータ貼り付け!$AM:$AM,0)),"")</f>
        <v/>
      </c>
      <c r="F35" s="28" t="str">
        <f>_xlfn.IFNA(INDEX(W2Pデータ貼り付け!AL:AL,MATCH(注文書!$A33,W2Pデータ貼り付け!$AM:$AM,0)),"")</f>
        <v/>
      </c>
      <c r="G35" s="29"/>
      <c r="H35" s="29"/>
      <c r="I35" s="29"/>
    </row>
    <row r="36" spans="1:9" ht="14.25" customHeight="1" x14ac:dyDescent="0.25">
      <c r="A36" s="216">
        <v>11</v>
      </c>
      <c r="B36" s="22" t="str">
        <f>IFERROR(LEFT(_xlfn.IFNA(INDEX(W2Pデータ貼り付け!B:B,MATCH(注文書!$A36,W2Pデータ貼り付け!$AM:$AM,0)),""),FIND("-",_xlfn.IFNA(INDEX(W2Pデータ貼り付け!B:B,MATCH(注文書!$A36,W2Pデータ貼り付け!$AM:$AM,0)),""))-1),_xlfn.IFNA(INDEX(W2Pデータ貼り付け!B:B,MATCH(注文書!$A36,W2Pデータ貼り付け!$AM:$AM,0)),""))</f>
        <v/>
      </c>
      <c r="C36" s="222" t="str">
        <f>_xlfn.IFNA(DATEVALUE(TEXT(INDEX(W2Pデータ貼り付け!AF:AF,MATCH(注文書!$A36,W2Pデータ貼り付け!$AM:$AM,0)),"0000!/00!/00")),"")</f>
        <v/>
      </c>
      <c r="D36" s="17" t="str">
        <f>_xlfn.IFNA(INDEX(W2Pデータ貼り付け!M:M,MATCH(注文書!$A36,W2Pデータ貼り付け!$AM:$AM,0)),"")</f>
        <v/>
      </c>
      <c r="E36" s="17" t="str">
        <f>_xlfn.IFNA(INDEX(W2Pデータ貼り付け!T:T,MATCH(注文書!$A36,W2Pデータ貼り付け!$AM:$AM,0)),"")</f>
        <v/>
      </c>
      <c r="F36" s="23" t="str" cm="1">
        <f t="array" ref="F36">_xlfn.IFNA(_xlfn.SINGLE(INDEX(CONCATENATE(W2Pデータ貼り付け!V:V,"部"),MATCH(注文書!$A36,W2Pデータ貼り付け!$AM:$AM,0))),"")</f>
        <v/>
      </c>
      <c r="G36" s="24"/>
      <c r="H36" s="24"/>
      <c r="I36" s="24"/>
    </row>
    <row r="37" spans="1:9" ht="14.25" customHeight="1" x14ac:dyDescent="0.25">
      <c r="A37" s="217"/>
      <c r="B37" s="25" t="str">
        <f>IFERROR(MID(_xlfn.IFNA(INDEX(W2Pデータ貼り付け!B:B,MATCH(注文書!$A36,W2Pデータ貼り付け!$AM:$AM,0)),""),FIND("-",_xlfn.IFNA(INDEX(W2Pデータ貼り付け!B:B,MATCH(注文書!$A36,W2Pデータ貼り付け!$AM:$AM,0)),"")),LEN(_xlfn.IFNA(INDEX(W2Pデータ貼り付け!B:B,MATCH(注文書!$A36,W2Pデータ貼り付け!$AM:$AM,0)),""))),"")</f>
        <v/>
      </c>
      <c r="C37" s="223"/>
      <c r="D37" s="18" t="str">
        <f>_xlfn.IFNA(INDEX(W2Pデータ貼り付け!N:N,MATCH(注文書!$A36,W2Pデータ貼り付け!$AM:$AM,0)),"")</f>
        <v/>
      </c>
      <c r="E37" s="18"/>
      <c r="F37" s="26" t="str">
        <f>_xlfn.IFNA(INDEX(W2Pデータ貼り付け!AK:AK,MATCH(注文書!$A36,W2Pデータ貼り付け!$AM:$AM,0)),"")</f>
        <v/>
      </c>
      <c r="G37" s="27"/>
      <c r="H37" s="27"/>
      <c r="I37" s="27"/>
    </row>
    <row r="38" spans="1:9" ht="14.25" customHeight="1" x14ac:dyDescent="0.25">
      <c r="A38" s="218"/>
      <c r="B38" s="36" t="str">
        <f ca="1">IF(B36&lt;&gt;"",TODAY(),"")</f>
        <v/>
      </c>
      <c r="C38" s="224"/>
      <c r="D38" s="19" t="str">
        <f>_xlfn.IFNA(INDEX(W2Pデータ貼り付け!O:O,MATCH(注文書!$A36,W2Pデータ貼り付け!$AM:$AM,0)),"")</f>
        <v/>
      </c>
      <c r="E38" s="19" t="str">
        <f>_xlfn.IFNA(INDEX(W2Pデータ貼り付け!U:U,MATCH(注文書!$A36,W2Pデータ貼り付け!$AM:$AM,0)),"")</f>
        <v/>
      </c>
      <c r="F38" s="28" t="str">
        <f>_xlfn.IFNA(INDEX(W2Pデータ貼り付け!AL:AL,MATCH(注文書!$A36,W2Pデータ貼り付け!$AM:$AM,0)),"")</f>
        <v/>
      </c>
      <c r="G38" s="29"/>
      <c r="H38" s="29"/>
      <c r="I38" s="29"/>
    </row>
    <row r="39" spans="1:9" ht="14.25" customHeight="1" x14ac:dyDescent="0.25">
      <c r="A39" s="216">
        <v>12</v>
      </c>
      <c r="B39" s="22" t="str">
        <f>IFERROR(LEFT(_xlfn.IFNA(INDEX(W2Pデータ貼り付け!B:B,MATCH(注文書!$A39,W2Pデータ貼り付け!$AM:$AM,0)),""),FIND("-",_xlfn.IFNA(INDEX(W2Pデータ貼り付け!B:B,MATCH(注文書!$A39,W2Pデータ貼り付け!$AM:$AM,0)),""))-1),_xlfn.IFNA(INDEX(W2Pデータ貼り付け!B:B,MATCH(注文書!$A39,W2Pデータ貼り付け!$AM:$AM,0)),""))</f>
        <v/>
      </c>
      <c r="C39" s="222" t="str">
        <f>_xlfn.IFNA(DATEVALUE(TEXT(INDEX(W2Pデータ貼り付け!AF:AF,MATCH(注文書!$A39,W2Pデータ貼り付け!$AM:$AM,0)),"0000!/00!/00")),"")</f>
        <v/>
      </c>
      <c r="D39" s="17" t="str">
        <f>_xlfn.IFNA(INDEX(W2Pデータ貼り付け!M:M,MATCH(注文書!$A39,W2Pデータ貼り付け!$AM:$AM,0)),"")</f>
        <v/>
      </c>
      <c r="E39" s="17" t="str">
        <f>_xlfn.IFNA(INDEX(W2Pデータ貼り付け!T:T,MATCH(注文書!$A39,W2Pデータ貼り付け!$AM:$AM,0)),"")</f>
        <v/>
      </c>
      <c r="F39" s="23" t="str" cm="1">
        <f t="array" ref="F39">_xlfn.IFNA(_xlfn.SINGLE(INDEX(CONCATENATE(W2Pデータ貼り付け!V:V,"部"),MATCH(注文書!$A39,W2Pデータ貼り付け!$AM:$AM,0))),"")</f>
        <v/>
      </c>
      <c r="G39" s="24"/>
      <c r="H39" s="24"/>
      <c r="I39" s="24"/>
    </row>
    <row r="40" spans="1:9" ht="14.25" customHeight="1" x14ac:dyDescent="0.25">
      <c r="A40" s="217"/>
      <c r="B40" s="25" t="str">
        <f>IFERROR(MID(_xlfn.IFNA(INDEX(W2Pデータ貼り付け!B:B,MATCH(注文書!$A39,W2Pデータ貼り付け!$AM:$AM,0)),""),FIND("-",_xlfn.IFNA(INDEX(W2Pデータ貼り付け!B:B,MATCH(注文書!$A39,W2Pデータ貼り付け!$AM:$AM,0)),"")),LEN(_xlfn.IFNA(INDEX(W2Pデータ貼り付け!B:B,MATCH(注文書!$A39,W2Pデータ貼り付け!$AM:$AM,0)),""))),"")</f>
        <v/>
      </c>
      <c r="C40" s="223"/>
      <c r="D40" s="18" t="str">
        <f>_xlfn.IFNA(INDEX(W2Pデータ貼り付け!N:N,MATCH(注文書!$A39,W2Pデータ貼り付け!$AM:$AM,0)),"")</f>
        <v/>
      </c>
      <c r="E40" s="18"/>
      <c r="F40" s="26" t="str">
        <f>_xlfn.IFNA(INDEX(W2Pデータ貼り付け!AK:AK,MATCH(注文書!$A39,W2Pデータ貼り付け!$AM:$AM,0)),"")</f>
        <v/>
      </c>
      <c r="G40" s="27"/>
      <c r="H40" s="27"/>
      <c r="I40" s="27"/>
    </row>
    <row r="41" spans="1:9" ht="14.25" customHeight="1" x14ac:dyDescent="0.25">
      <c r="A41" s="218"/>
      <c r="B41" s="36" t="str">
        <f ca="1">IF(B39&lt;&gt;"",TODAY(),"")</f>
        <v/>
      </c>
      <c r="C41" s="224"/>
      <c r="D41" s="19" t="str">
        <f>_xlfn.IFNA(INDEX(W2Pデータ貼り付け!O:O,MATCH(注文書!$A39,W2Pデータ貼り付け!$AM:$AM,0)),"")</f>
        <v/>
      </c>
      <c r="E41" s="19" t="str">
        <f>_xlfn.IFNA(INDEX(W2Pデータ貼り付け!U:U,MATCH(注文書!$A39,W2Pデータ貼り付け!$AM:$AM,0)),"")</f>
        <v/>
      </c>
      <c r="F41" s="28" t="str">
        <f>_xlfn.IFNA(INDEX(W2Pデータ貼り付け!AL:AL,MATCH(注文書!$A39,W2Pデータ貼り付け!$AM:$AM,0)),"")</f>
        <v/>
      </c>
      <c r="G41" s="29"/>
      <c r="H41" s="29"/>
      <c r="I41" s="29"/>
    </row>
    <row r="42" spans="1:9" ht="14.25" customHeight="1" x14ac:dyDescent="0.25">
      <c r="A42" s="216">
        <v>13</v>
      </c>
      <c r="B42" s="22" t="str">
        <f>IFERROR(LEFT(_xlfn.IFNA(INDEX(W2Pデータ貼り付け!B:B,MATCH(注文書!$A42,W2Pデータ貼り付け!$AM:$AM,0)),""),FIND("-",_xlfn.IFNA(INDEX(W2Pデータ貼り付け!B:B,MATCH(注文書!$A42,W2Pデータ貼り付け!$AM:$AM,0)),""))-1),_xlfn.IFNA(INDEX(W2Pデータ貼り付け!B:B,MATCH(注文書!$A42,W2Pデータ貼り付け!$AM:$AM,0)),""))</f>
        <v/>
      </c>
      <c r="C42" s="222" t="str">
        <f>_xlfn.IFNA(DATEVALUE(TEXT(INDEX(W2Pデータ貼り付け!AF:AF,MATCH(注文書!$A42,W2Pデータ貼り付け!$AM:$AM,0)),"0000!/00!/00")),"")</f>
        <v/>
      </c>
      <c r="D42" s="17" t="str">
        <f>_xlfn.IFNA(INDEX(W2Pデータ貼り付け!M:M,MATCH(注文書!$A42,W2Pデータ貼り付け!$AM:$AM,0)),"")</f>
        <v/>
      </c>
      <c r="E42" s="17" t="str">
        <f>_xlfn.IFNA(INDEX(W2Pデータ貼り付け!T:T,MATCH(注文書!$A42,W2Pデータ貼り付け!$AM:$AM,0)),"")</f>
        <v/>
      </c>
      <c r="F42" s="23" t="str" cm="1">
        <f t="array" ref="F42">_xlfn.IFNA(_xlfn.SINGLE(INDEX(CONCATENATE(W2Pデータ貼り付け!V:V,"部"),MATCH(注文書!$A42,W2Pデータ貼り付け!$AM:$AM,0))),"")</f>
        <v/>
      </c>
      <c r="G42" s="24"/>
      <c r="H42" s="24"/>
      <c r="I42" s="24"/>
    </row>
    <row r="43" spans="1:9" ht="14.25" customHeight="1" x14ac:dyDescent="0.25">
      <c r="A43" s="217"/>
      <c r="B43" s="25" t="str">
        <f>IFERROR(MID(_xlfn.IFNA(INDEX(W2Pデータ貼り付け!B:B,MATCH(注文書!$A42,W2Pデータ貼り付け!$AM:$AM,0)),""),FIND("-",_xlfn.IFNA(INDEX(W2Pデータ貼り付け!B:B,MATCH(注文書!$A42,W2Pデータ貼り付け!$AM:$AM,0)),"")),LEN(_xlfn.IFNA(INDEX(W2Pデータ貼り付け!B:B,MATCH(注文書!$A42,W2Pデータ貼り付け!$AM:$AM,0)),""))),"")</f>
        <v/>
      </c>
      <c r="C43" s="223"/>
      <c r="D43" s="18" t="str">
        <f>_xlfn.IFNA(INDEX(W2Pデータ貼り付け!N:N,MATCH(注文書!$A42,W2Pデータ貼り付け!$AM:$AM,0)),"")</f>
        <v/>
      </c>
      <c r="E43" s="18"/>
      <c r="F43" s="26" t="str">
        <f>_xlfn.IFNA(INDEX(W2Pデータ貼り付け!AK:AK,MATCH(注文書!$A42,W2Pデータ貼り付け!$AM:$AM,0)),"")</f>
        <v/>
      </c>
      <c r="G43" s="27"/>
      <c r="H43" s="27"/>
      <c r="I43" s="27"/>
    </row>
    <row r="44" spans="1:9" ht="14.25" customHeight="1" x14ac:dyDescent="0.25">
      <c r="A44" s="218"/>
      <c r="B44" s="36" t="str">
        <f ca="1">IF(B42&lt;&gt;"",TODAY(),"")</f>
        <v/>
      </c>
      <c r="C44" s="224"/>
      <c r="D44" s="19" t="str">
        <f>_xlfn.IFNA(INDEX(W2Pデータ貼り付け!O:O,MATCH(注文書!$A42,W2Pデータ貼り付け!$AM:$AM,0)),"")</f>
        <v/>
      </c>
      <c r="E44" s="19" t="str">
        <f>_xlfn.IFNA(INDEX(W2Pデータ貼り付け!U:U,MATCH(注文書!$A42,W2Pデータ貼り付け!$AM:$AM,0)),"")</f>
        <v/>
      </c>
      <c r="F44" s="28" t="str">
        <f>_xlfn.IFNA(INDEX(W2Pデータ貼り付け!AL:AL,MATCH(注文書!$A42,W2Pデータ貼り付け!$AM:$AM,0)),"")</f>
        <v/>
      </c>
      <c r="G44" s="29"/>
      <c r="H44" s="29"/>
      <c r="I44" s="29"/>
    </row>
    <row r="45" spans="1:9" ht="14.25" customHeight="1" x14ac:dyDescent="0.25">
      <c r="A45" s="216">
        <v>14</v>
      </c>
      <c r="B45" s="22" t="str">
        <f>IFERROR(LEFT(_xlfn.IFNA(INDEX(W2Pデータ貼り付け!B:B,MATCH(注文書!$A45,W2Pデータ貼り付け!$AM:$AM,0)),""),FIND("-",_xlfn.IFNA(INDEX(W2Pデータ貼り付け!B:B,MATCH(注文書!$A45,W2Pデータ貼り付け!$AM:$AM,0)),""))-1),_xlfn.IFNA(INDEX(W2Pデータ貼り付け!B:B,MATCH(注文書!$A45,W2Pデータ貼り付け!$AM:$AM,0)),""))</f>
        <v/>
      </c>
      <c r="C45" s="222" t="str">
        <f>_xlfn.IFNA(DATEVALUE(TEXT(INDEX(W2Pデータ貼り付け!AF:AF,MATCH(注文書!$A45,W2Pデータ貼り付け!$AM:$AM,0)),"0000!/00!/00")),"")</f>
        <v/>
      </c>
      <c r="D45" s="17" t="str">
        <f>_xlfn.IFNA(INDEX(W2Pデータ貼り付け!M:M,MATCH(注文書!$A45,W2Pデータ貼り付け!$AM:$AM,0)),"")</f>
        <v/>
      </c>
      <c r="E45" s="17" t="str">
        <f>_xlfn.IFNA(INDEX(W2Pデータ貼り付け!T:T,MATCH(注文書!$A45,W2Pデータ貼り付け!$AM:$AM,0)),"")</f>
        <v/>
      </c>
      <c r="F45" s="23" t="str" cm="1">
        <f t="array" ref="F45">_xlfn.IFNA(_xlfn.SINGLE(INDEX(CONCATENATE(W2Pデータ貼り付け!V:V,"部"),MATCH(注文書!$A45,W2Pデータ貼り付け!$AM:$AM,0))),"")</f>
        <v/>
      </c>
      <c r="G45" s="24"/>
      <c r="H45" s="24"/>
      <c r="I45" s="24"/>
    </row>
    <row r="46" spans="1:9" ht="14.25" customHeight="1" x14ac:dyDescent="0.25">
      <c r="A46" s="217"/>
      <c r="B46" s="25" t="str">
        <f>IFERROR(MID(_xlfn.IFNA(INDEX(W2Pデータ貼り付け!B:B,MATCH(注文書!$A45,W2Pデータ貼り付け!$AM:$AM,0)),""),FIND("-",_xlfn.IFNA(INDEX(W2Pデータ貼り付け!B:B,MATCH(注文書!$A45,W2Pデータ貼り付け!$AM:$AM,0)),"")),LEN(_xlfn.IFNA(INDEX(W2Pデータ貼り付け!B:B,MATCH(注文書!$A45,W2Pデータ貼り付け!$AM:$AM,0)),""))),"")</f>
        <v/>
      </c>
      <c r="C46" s="223"/>
      <c r="D46" s="18" t="str">
        <f>_xlfn.IFNA(INDEX(W2Pデータ貼り付け!N:N,MATCH(注文書!$A45,W2Pデータ貼り付け!$AM:$AM,0)),"")</f>
        <v/>
      </c>
      <c r="E46" s="18"/>
      <c r="F46" s="26" t="str">
        <f>_xlfn.IFNA(INDEX(W2Pデータ貼り付け!AK:AK,MATCH(注文書!$A45,W2Pデータ貼り付け!$AM:$AM,0)),"")</f>
        <v/>
      </c>
      <c r="G46" s="27"/>
      <c r="H46" s="27"/>
      <c r="I46" s="27"/>
    </row>
    <row r="47" spans="1:9" ht="14.25" customHeight="1" x14ac:dyDescent="0.25">
      <c r="A47" s="218"/>
      <c r="B47" s="36" t="str">
        <f ca="1">IF(B45&lt;&gt;"",TODAY(),"")</f>
        <v/>
      </c>
      <c r="C47" s="224"/>
      <c r="D47" s="19" t="str">
        <f>_xlfn.IFNA(INDEX(W2Pデータ貼り付け!O:O,MATCH(注文書!$A45,W2Pデータ貼り付け!$AM:$AM,0)),"")</f>
        <v/>
      </c>
      <c r="E47" s="19" t="str">
        <f>_xlfn.IFNA(INDEX(W2Pデータ貼り付け!U:U,MATCH(注文書!$A45,W2Pデータ貼り付け!$AM:$AM,0)),"")</f>
        <v/>
      </c>
      <c r="F47" s="28" t="str">
        <f>_xlfn.IFNA(INDEX(W2Pデータ貼り付け!AL:AL,MATCH(注文書!$A45,W2Pデータ貼り付け!$AM:$AM,0)),"")</f>
        <v/>
      </c>
      <c r="G47" s="29"/>
      <c r="H47" s="29"/>
      <c r="I47" s="29"/>
    </row>
    <row r="48" spans="1:9" ht="14.25" customHeight="1" x14ac:dyDescent="0.25">
      <c r="A48" s="216">
        <v>15</v>
      </c>
      <c r="B48" s="22" t="str">
        <f>IFERROR(LEFT(_xlfn.IFNA(INDEX(W2Pデータ貼り付け!B:B,MATCH(注文書!$A48,W2Pデータ貼り付け!$AM:$AM,0)),""),FIND("-",_xlfn.IFNA(INDEX(W2Pデータ貼り付け!B:B,MATCH(注文書!$A48,W2Pデータ貼り付け!$AM:$AM,0)),""))-1),_xlfn.IFNA(INDEX(W2Pデータ貼り付け!B:B,MATCH(注文書!$A48,W2Pデータ貼り付け!$AM:$AM,0)),""))</f>
        <v/>
      </c>
      <c r="C48" s="222" t="str">
        <f>_xlfn.IFNA(DATEVALUE(TEXT(INDEX(W2Pデータ貼り付け!AF:AF,MATCH(注文書!$A48,W2Pデータ貼り付け!$AM:$AM,0)),"0000!/00!/00")),"")</f>
        <v/>
      </c>
      <c r="D48" s="17" t="str">
        <f>_xlfn.IFNA(INDEX(W2Pデータ貼り付け!M:M,MATCH(注文書!$A48,W2Pデータ貼り付け!$AM:$AM,0)),"")</f>
        <v/>
      </c>
      <c r="E48" s="17" t="str">
        <f>_xlfn.IFNA(INDEX(W2Pデータ貼り付け!T:T,MATCH(注文書!$A48,W2Pデータ貼り付け!$AM:$AM,0)),"")</f>
        <v/>
      </c>
      <c r="F48" s="23" t="str" cm="1">
        <f t="array" ref="F48">_xlfn.IFNA(_xlfn.SINGLE(INDEX(CONCATENATE(W2Pデータ貼り付け!V:V,"部"),MATCH(注文書!$A48,W2Pデータ貼り付け!$AM:$AM,0))),"")</f>
        <v/>
      </c>
      <c r="G48" s="24"/>
      <c r="H48" s="24"/>
      <c r="I48" s="24"/>
    </row>
    <row r="49" spans="1:9" ht="14.25" customHeight="1" x14ac:dyDescent="0.25">
      <c r="A49" s="217"/>
      <c r="B49" s="25" t="str">
        <f>IFERROR(MID(_xlfn.IFNA(INDEX(W2Pデータ貼り付け!B:B,MATCH(注文書!$A48,W2Pデータ貼り付け!$AM:$AM,0)),""),FIND("-",_xlfn.IFNA(INDEX(W2Pデータ貼り付け!B:B,MATCH(注文書!$A48,W2Pデータ貼り付け!$AM:$AM,0)),"")),LEN(_xlfn.IFNA(INDEX(W2Pデータ貼り付け!B:B,MATCH(注文書!$A48,W2Pデータ貼り付け!$AM:$AM,0)),""))),"")</f>
        <v/>
      </c>
      <c r="C49" s="223"/>
      <c r="D49" s="18" t="str">
        <f>_xlfn.IFNA(INDEX(W2Pデータ貼り付け!N:N,MATCH(注文書!$A48,W2Pデータ貼り付け!$AM:$AM,0)),"")</f>
        <v/>
      </c>
      <c r="E49" s="18"/>
      <c r="F49" s="26" t="str">
        <f>_xlfn.IFNA(INDEX(W2Pデータ貼り付け!AK:AK,MATCH(注文書!$A48,W2Pデータ貼り付け!$AM:$AM,0)),"")</f>
        <v/>
      </c>
      <c r="G49" s="27"/>
      <c r="H49" s="27"/>
      <c r="I49" s="27"/>
    </row>
    <row r="50" spans="1:9" ht="14.25" customHeight="1" x14ac:dyDescent="0.25">
      <c r="A50" s="218"/>
      <c r="B50" s="36" t="str">
        <f ca="1">IF(B48&lt;&gt;"",TODAY(),"")</f>
        <v/>
      </c>
      <c r="C50" s="224"/>
      <c r="D50" s="19" t="str">
        <f>_xlfn.IFNA(INDEX(W2Pデータ貼り付け!O:O,MATCH(注文書!$A48,W2Pデータ貼り付け!$AM:$AM,0)),"")</f>
        <v/>
      </c>
      <c r="E50" s="19" t="str">
        <f>_xlfn.IFNA(INDEX(W2Pデータ貼り付け!U:U,MATCH(注文書!$A48,W2Pデータ貼り付け!$AM:$AM,0)),"")</f>
        <v/>
      </c>
      <c r="F50" s="28" t="str">
        <f>_xlfn.IFNA(INDEX(W2Pデータ貼り付け!AL:AL,MATCH(注文書!$A48,W2Pデータ貼り付け!$AM:$AM,0)),"")</f>
        <v/>
      </c>
      <c r="G50" s="29"/>
      <c r="H50" s="29"/>
      <c r="I50" s="29"/>
    </row>
    <row r="51" spans="1:9" ht="14.25" customHeight="1" x14ac:dyDescent="0.25">
      <c r="A51" s="216">
        <v>16</v>
      </c>
      <c r="B51" s="22" t="str">
        <f>IFERROR(LEFT(_xlfn.IFNA(INDEX(W2Pデータ貼り付け!B:B,MATCH(注文書!$A51,W2Pデータ貼り付け!$AM:$AM,0)),""),FIND("-",_xlfn.IFNA(INDEX(W2Pデータ貼り付け!B:B,MATCH(注文書!$A51,W2Pデータ貼り付け!$AM:$AM,0)),""))-1),_xlfn.IFNA(INDEX(W2Pデータ貼り付け!B:B,MATCH(注文書!$A51,W2Pデータ貼り付け!$AM:$AM,0)),""))</f>
        <v/>
      </c>
      <c r="C51" s="222" t="str">
        <f>_xlfn.IFNA(DATEVALUE(TEXT(INDEX(W2Pデータ貼り付け!AF:AF,MATCH(注文書!$A51,W2Pデータ貼り付け!$AM:$AM,0)),"0000!/00!/00")),"")</f>
        <v/>
      </c>
      <c r="D51" s="17" t="str">
        <f>_xlfn.IFNA(INDEX(W2Pデータ貼り付け!M:M,MATCH(注文書!$A51,W2Pデータ貼り付け!$AM:$AM,0)),"")</f>
        <v/>
      </c>
      <c r="E51" s="17" t="str">
        <f>_xlfn.IFNA(INDEX(W2Pデータ貼り付け!T:T,MATCH(注文書!$A51,W2Pデータ貼り付け!$AM:$AM,0)),"")</f>
        <v/>
      </c>
      <c r="F51" s="23" t="str" cm="1">
        <f t="array" ref="F51">_xlfn.IFNA(_xlfn.SINGLE(INDEX(CONCATENATE(W2Pデータ貼り付け!V:V,"部"),MATCH(注文書!$A51,W2Pデータ貼り付け!$AM:$AM,0))),"")</f>
        <v/>
      </c>
      <c r="G51" s="24"/>
      <c r="H51" s="24"/>
      <c r="I51" s="24"/>
    </row>
    <row r="52" spans="1:9" ht="14.25" customHeight="1" x14ac:dyDescent="0.25">
      <c r="A52" s="217"/>
      <c r="B52" s="25" t="str">
        <f>IFERROR(MID(_xlfn.IFNA(INDEX(W2Pデータ貼り付け!B:B,MATCH(注文書!$A51,W2Pデータ貼り付け!$AM:$AM,0)),""),FIND("-",_xlfn.IFNA(INDEX(W2Pデータ貼り付け!B:B,MATCH(注文書!$A51,W2Pデータ貼り付け!$AM:$AM,0)),"")),LEN(_xlfn.IFNA(INDEX(W2Pデータ貼り付け!B:B,MATCH(注文書!$A51,W2Pデータ貼り付け!$AM:$AM,0)),""))),"")</f>
        <v/>
      </c>
      <c r="C52" s="223"/>
      <c r="D52" s="18" t="str">
        <f>_xlfn.IFNA(INDEX(W2Pデータ貼り付け!N:N,MATCH(注文書!$A51,W2Pデータ貼り付け!$AM:$AM,0)),"")</f>
        <v/>
      </c>
      <c r="E52" s="18"/>
      <c r="F52" s="26" t="str">
        <f>_xlfn.IFNA(INDEX(W2Pデータ貼り付け!AK:AK,MATCH(注文書!$A51,W2Pデータ貼り付け!$AM:$AM,0)),"")</f>
        <v/>
      </c>
      <c r="G52" s="27"/>
      <c r="H52" s="27"/>
      <c r="I52" s="27"/>
    </row>
    <row r="53" spans="1:9" ht="14.25" customHeight="1" x14ac:dyDescent="0.25">
      <c r="A53" s="218"/>
      <c r="B53" s="36" t="str">
        <f ca="1">IF(B51&lt;&gt;"",TODAY(),"")</f>
        <v/>
      </c>
      <c r="C53" s="224"/>
      <c r="D53" s="19" t="str">
        <f>_xlfn.IFNA(INDEX(W2Pデータ貼り付け!O:O,MATCH(注文書!$A51,W2Pデータ貼り付け!$AM:$AM,0)),"")</f>
        <v/>
      </c>
      <c r="E53" s="19" t="str">
        <f>_xlfn.IFNA(INDEX(W2Pデータ貼り付け!U:U,MATCH(注文書!$A51,W2Pデータ貼り付け!$AM:$AM,0)),"")</f>
        <v/>
      </c>
      <c r="F53" s="28" t="str">
        <f>_xlfn.IFNA(INDEX(W2Pデータ貼り付け!AL:AL,MATCH(注文書!$A51,W2Pデータ貼り付け!$AM:$AM,0)),"")</f>
        <v/>
      </c>
      <c r="G53" s="29"/>
      <c r="H53" s="29"/>
      <c r="I53" s="29"/>
    </row>
    <row r="54" spans="1:9" ht="14.25" customHeight="1" x14ac:dyDescent="0.25">
      <c r="A54" s="216">
        <v>17</v>
      </c>
      <c r="B54" s="22" t="str">
        <f>IFERROR(LEFT(_xlfn.IFNA(INDEX(W2Pデータ貼り付け!B:B,MATCH(注文書!$A54,W2Pデータ貼り付け!$AM:$AM,0)),""),FIND("-",_xlfn.IFNA(INDEX(W2Pデータ貼り付け!B:B,MATCH(注文書!$A54,W2Pデータ貼り付け!$AM:$AM,0)),""))-1),_xlfn.IFNA(INDEX(W2Pデータ貼り付け!B:B,MATCH(注文書!$A54,W2Pデータ貼り付け!$AM:$AM,0)),""))</f>
        <v/>
      </c>
      <c r="C54" s="222" t="str">
        <f>_xlfn.IFNA(DATEVALUE(TEXT(INDEX(W2Pデータ貼り付け!AF:AF,MATCH(注文書!$A54,W2Pデータ貼り付け!$AM:$AM,0)),"0000!/00!/00")),"")</f>
        <v/>
      </c>
      <c r="D54" s="17" t="str">
        <f>_xlfn.IFNA(INDEX(W2Pデータ貼り付け!M:M,MATCH(注文書!$A54,W2Pデータ貼り付け!$AM:$AM,0)),"")</f>
        <v/>
      </c>
      <c r="E54" s="17" t="str">
        <f>_xlfn.IFNA(INDEX(W2Pデータ貼り付け!T:T,MATCH(注文書!$A54,W2Pデータ貼り付け!$AM:$AM,0)),"")</f>
        <v/>
      </c>
      <c r="F54" s="23" t="str" cm="1">
        <f t="array" ref="F54">_xlfn.IFNA(_xlfn.SINGLE(INDEX(CONCATENATE(W2Pデータ貼り付け!V:V,"部"),MATCH(注文書!$A54,W2Pデータ貼り付け!$AM:$AM,0))),"")</f>
        <v/>
      </c>
      <c r="G54" s="24"/>
      <c r="H54" s="24"/>
      <c r="I54" s="24"/>
    </row>
    <row r="55" spans="1:9" ht="14.25" customHeight="1" x14ac:dyDescent="0.25">
      <c r="A55" s="217"/>
      <c r="B55" s="25" t="str">
        <f>IFERROR(MID(_xlfn.IFNA(INDEX(W2Pデータ貼り付け!B:B,MATCH(注文書!$A54,W2Pデータ貼り付け!$AM:$AM,0)),""),FIND("-",_xlfn.IFNA(INDEX(W2Pデータ貼り付け!B:B,MATCH(注文書!$A54,W2Pデータ貼り付け!$AM:$AM,0)),"")),LEN(_xlfn.IFNA(INDEX(W2Pデータ貼り付け!B:B,MATCH(注文書!$A54,W2Pデータ貼り付け!$AM:$AM,0)),""))),"")</f>
        <v/>
      </c>
      <c r="C55" s="223"/>
      <c r="D55" s="18" t="str">
        <f>_xlfn.IFNA(INDEX(W2Pデータ貼り付け!N:N,MATCH(注文書!$A54,W2Pデータ貼り付け!$AM:$AM,0)),"")</f>
        <v/>
      </c>
      <c r="E55" s="18"/>
      <c r="F55" s="26" t="str">
        <f>_xlfn.IFNA(INDEX(W2Pデータ貼り付け!AK:AK,MATCH(注文書!$A54,W2Pデータ貼り付け!$AM:$AM,0)),"")</f>
        <v/>
      </c>
      <c r="G55" s="27"/>
      <c r="H55" s="27"/>
      <c r="I55" s="27"/>
    </row>
    <row r="56" spans="1:9" ht="14.25" customHeight="1" x14ac:dyDescent="0.25">
      <c r="A56" s="218"/>
      <c r="B56" s="36" t="str">
        <f ca="1">IF(B54&lt;&gt;"",TODAY(),"")</f>
        <v/>
      </c>
      <c r="C56" s="224"/>
      <c r="D56" s="19" t="str">
        <f>_xlfn.IFNA(INDEX(W2Pデータ貼り付け!O:O,MATCH(注文書!$A54,W2Pデータ貼り付け!$AM:$AM,0)),"")</f>
        <v/>
      </c>
      <c r="E56" s="19" t="str">
        <f>_xlfn.IFNA(INDEX(W2Pデータ貼り付け!U:U,MATCH(注文書!$A54,W2Pデータ貼り付け!$AM:$AM,0)),"")</f>
        <v/>
      </c>
      <c r="F56" s="28" t="str">
        <f>_xlfn.IFNA(INDEX(W2Pデータ貼り付け!AL:AL,MATCH(注文書!$A54,W2Pデータ貼り付け!$AM:$AM,0)),"")</f>
        <v/>
      </c>
      <c r="G56" s="29"/>
      <c r="H56" s="29"/>
      <c r="I56" s="29"/>
    </row>
    <row r="57" spans="1:9" ht="14.25" customHeight="1" x14ac:dyDescent="0.25">
      <c r="A57" s="216">
        <v>18</v>
      </c>
      <c r="B57" s="22" t="str">
        <f>IFERROR(LEFT(_xlfn.IFNA(INDEX(W2Pデータ貼り付け!B:B,MATCH(注文書!$A57,W2Pデータ貼り付け!$AM:$AM,0)),""),FIND("-",_xlfn.IFNA(INDEX(W2Pデータ貼り付け!B:B,MATCH(注文書!$A57,W2Pデータ貼り付け!$AM:$AM,0)),""))-1),_xlfn.IFNA(INDEX(W2Pデータ貼り付け!B:B,MATCH(注文書!$A57,W2Pデータ貼り付け!$AM:$AM,0)),""))</f>
        <v/>
      </c>
      <c r="C57" s="222" t="str">
        <f>_xlfn.IFNA(DATEVALUE(TEXT(INDEX(W2Pデータ貼り付け!AF:AF,MATCH(注文書!$A57,W2Pデータ貼り付け!$AM:$AM,0)),"0000!/00!/00")),"")</f>
        <v/>
      </c>
      <c r="D57" s="17" t="str">
        <f>_xlfn.IFNA(INDEX(W2Pデータ貼り付け!M:M,MATCH(注文書!$A57,W2Pデータ貼り付け!$AM:$AM,0)),"")</f>
        <v/>
      </c>
      <c r="E57" s="17" t="str">
        <f>_xlfn.IFNA(INDEX(W2Pデータ貼り付け!T:T,MATCH(注文書!$A57,W2Pデータ貼り付け!$AM:$AM,0)),"")</f>
        <v/>
      </c>
      <c r="F57" s="23" t="str" cm="1">
        <f t="array" ref="F57">_xlfn.IFNA(_xlfn.SINGLE(INDEX(CONCATENATE(W2Pデータ貼り付け!V:V,"部"),MATCH(注文書!$A57,W2Pデータ貼り付け!$AM:$AM,0))),"")</f>
        <v/>
      </c>
      <c r="G57" s="24"/>
      <c r="H57" s="24"/>
      <c r="I57" s="24"/>
    </row>
    <row r="58" spans="1:9" ht="14.25" customHeight="1" x14ac:dyDescent="0.25">
      <c r="A58" s="217"/>
      <c r="B58" s="25" t="str">
        <f>IFERROR(MID(_xlfn.IFNA(INDEX(W2Pデータ貼り付け!B:B,MATCH(注文書!$A57,W2Pデータ貼り付け!$AM:$AM,0)),""),FIND("-",_xlfn.IFNA(INDEX(W2Pデータ貼り付け!B:B,MATCH(注文書!$A57,W2Pデータ貼り付け!$AM:$AM,0)),"")),LEN(_xlfn.IFNA(INDEX(W2Pデータ貼り付け!B:B,MATCH(注文書!$A57,W2Pデータ貼り付け!$AM:$AM,0)),""))),"")</f>
        <v/>
      </c>
      <c r="C58" s="223"/>
      <c r="D58" s="18" t="str">
        <f>_xlfn.IFNA(INDEX(W2Pデータ貼り付け!N:N,MATCH(注文書!$A57,W2Pデータ貼り付け!$AM:$AM,0)),"")</f>
        <v/>
      </c>
      <c r="E58" s="18"/>
      <c r="F58" s="26" t="str">
        <f>_xlfn.IFNA(INDEX(W2Pデータ貼り付け!AK:AK,MATCH(注文書!$A57,W2Pデータ貼り付け!$AM:$AM,0)),"")</f>
        <v/>
      </c>
      <c r="G58" s="27"/>
      <c r="H58" s="27"/>
      <c r="I58" s="27"/>
    </row>
    <row r="59" spans="1:9" ht="14.25" customHeight="1" x14ac:dyDescent="0.25">
      <c r="A59" s="218"/>
      <c r="B59" s="36" t="str">
        <f ca="1">IF(B57&lt;&gt;"",TODAY(),"")</f>
        <v/>
      </c>
      <c r="C59" s="224"/>
      <c r="D59" s="19" t="str">
        <f>_xlfn.IFNA(INDEX(W2Pデータ貼り付け!O:O,MATCH(注文書!$A57,W2Pデータ貼り付け!$AM:$AM,0)),"")</f>
        <v/>
      </c>
      <c r="E59" s="19" t="str">
        <f>_xlfn.IFNA(INDEX(W2Pデータ貼り付け!U:U,MATCH(注文書!$A57,W2Pデータ貼り付け!$AM:$AM,0)),"")</f>
        <v/>
      </c>
      <c r="F59" s="28" t="str">
        <f>_xlfn.IFNA(INDEX(W2Pデータ貼り付け!AL:AL,MATCH(注文書!$A57,W2Pデータ貼り付け!$AM:$AM,0)),"")</f>
        <v/>
      </c>
      <c r="G59" s="29"/>
      <c r="H59" s="29"/>
      <c r="I59" s="29"/>
    </row>
    <row r="60" spans="1:9" ht="14.25" customHeight="1" x14ac:dyDescent="0.25">
      <c r="A60" s="216">
        <v>19</v>
      </c>
      <c r="B60" s="22" t="str">
        <f>IFERROR(LEFT(_xlfn.IFNA(INDEX(W2Pデータ貼り付け!B:B,MATCH(注文書!$A60,W2Pデータ貼り付け!$AM:$AM,0)),""),FIND("-",_xlfn.IFNA(INDEX(W2Pデータ貼り付け!B:B,MATCH(注文書!$A60,W2Pデータ貼り付け!$AM:$AM,0)),""))-1),_xlfn.IFNA(INDEX(W2Pデータ貼り付け!B:B,MATCH(注文書!$A60,W2Pデータ貼り付け!$AM:$AM,0)),""))</f>
        <v/>
      </c>
      <c r="C60" s="222" t="str">
        <f>_xlfn.IFNA(DATEVALUE(TEXT(INDEX(W2Pデータ貼り付け!AF:AF,MATCH(注文書!$A60,W2Pデータ貼り付け!$AM:$AM,0)),"0000!/00!/00")),"")</f>
        <v/>
      </c>
      <c r="D60" s="17" t="str">
        <f>_xlfn.IFNA(INDEX(W2Pデータ貼り付け!M:M,MATCH(注文書!$A60,W2Pデータ貼り付け!$AM:$AM,0)),"")</f>
        <v/>
      </c>
      <c r="E60" s="17" t="str">
        <f>_xlfn.IFNA(INDEX(W2Pデータ貼り付け!T:T,MATCH(注文書!$A60,W2Pデータ貼り付け!$AM:$AM,0)),"")</f>
        <v/>
      </c>
      <c r="F60" s="23" t="str" cm="1">
        <f t="array" ref="F60">_xlfn.IFNA(_xlfn.SINGLE(INDEX(CONCATENATE(W2Pデータ貼り付け!V:V,"部"),MATCH(注文書!$A60,W2Pデータ貼り付け!$AM:$AM,0))),"")</f>
        <v/>
      </c>
      <c r="G60" s="24"/>
      <c r="H60" s="24"/>
      <c r="I60" s="24"/>
    </row>
    <row r="61" spans="1:9" ht="14.25" customHeight="1" x14ac:dyDescent="0.25">
      <c r="A61" s="217"/>
      <c r="B61" s="25" t="str">
        <f>IFERROR(MID(_xlfn.IFNA(INDEX(W2Pデータ貼り付け!B:B,MATCH(注文書!$A60,W2Pデータ貼り付け!$AM:$AM,0)),""),FIND("-",_xlfn.IFNA(INDEX(W2Pデータ貼り付け!B:B,MATCH(注文書!$A60,W2Pデータ貼り付け!$AM:$AM,0)),"")),LEN(_xlfn.IFNA(INDEX(W2Pデータ貼り付け!B:B,MATCH(注文書!$A60,W2Pデータ貼り付け!$AM:$AM,0)),""))),"")</f>
        <v/>
      </c>
      <c r="C61" s="223"/>
      <c r="D61" s="18" t="str">
        <f>_xlfn.IFNA(INDEX(W2Pデータ貼り付け!N:N,MATCH(注文書!$A60,W2Pデータ貼り付け!$AM:$AM,0)),"")</f>
        <v/>
      </c>
      <c r="E61" s="18"/>
      <c r="F61" s="26" t="str">
        <f>_xlfn.IFNA(INDEX(W2Pデータ貼り付け!AK:AK,MATCH(注文書!$A60,W2Pデータ貼り付け!$AM:$AM,0)),"")</f>
        <v/>
      </c>
      <c r="G61" s="27"/>
      <c r="H61" s="27"/>
      <c r="I61" s="27"/>
    </row>
    <row r="62" spans="1:9" ht="14.25" customHeight="1" x14ac:dyDescent="0.25">
      <c r="A62" s="218"/>
      <c r="B62" s="36" t="str">
        <f ca="1">IF(B60&lt;&gt;"",TODAY(),"")</f>
        <v/>
      </c>
      <c r="C62" s="224"/>
      <c r="D62" s="19" t="str">
        <f>_xlfn.IFNA(INDEX(W2Pデータ貼り付け!O:O,MATCH(注文書!$A60,W2Pデータ貼り付け!$AM:$AM,0)),"")</f>
        <v/>
      </c>
      <c r="E62" s="19" t="str">
        <f>_xlfn.IFNA(INDEX(W2Pデータ貼り付け!U:U,MATCH(注文書!$A60,W2Pデータ貼り付け!$AM:$AM,0)),"")</f>
        <v/>
      </c>
      <c r="F62" s="28" t="str">
        <f>_xlfn.IFNA(INDEX(W2Pデータ貼り付け!AL:AL,MATCH(注文書!$A60,W2Pデータ貼り付け!$AM:$AM,0)),"")</f>
        <v/>
      </c>
      <c r="G62" s="29"/>
      <c r="H62" s="29"/>
      <c r="I62" s="29"/>
    </row>
    <row r="63" spans="1:9" ht="14.25" customHeight="1" x14ac:dyDescent="0.25">
      <c r="A63" s="216">
        <v>20</v>
      </c>
      <c r="B63" s="22" t="str">
        <f>IFERROR(LEFT(_xlfn.IFNA(INDEX(W2Pデータ貼り付け!B:B,MATCH(注文書!$A63,W2Pデータ貼り付け!$AM:$AM,0)),""),FIND("-",_xlfn.IFNA(INDEX(W2Pデータ貼り付け!B:B,MATCH(注文書!$A63,W2Pデータ貼り付け!$AM:$AM,0)),""))-1),_xlfn.IFNA(INDEX(W2Pデータ貼り付け!B:B,MATCH(注文書!$A63,W2Pデータ貼り付け!$AM:$AM,0)),""))</f>
        <v/>
      </c>
      <c r="C63" s="222" t="str">
        <f>_xlfn.IFNA(DATEVALUE(TEXT(INDEX(W2Pデータ貼り付け!AF:AF,MATCH(注文書!$A63,W2Pデータ貼り付け!$AM:$AM,0)),"0000!/00!/00")),"")</f>
        <v/>
      </c>
      <c r="D63" s="17" t="str">
        <f>_xlfn.IFNA(INDEX(W2Pデータ貼り付け!M:M,MATCH(注文書!$A63,W2Pデータ貼り付け!$AM:$AM,0)),"")</f>
        <v/>
      </c>
      <c r="E63" s="17" t="str">
        <f>_xlfn.IFNA(INDEX(W2Pデータ貼り付け!T:T,MATCH(注文書!$A63,W2Pデータ貼り付け!$AM:$AM,0)),"")</f>
        <v/>
      </c>
      <c r="F63" s="23" t="str" cm="1">
        <f t="array" ref="F63">_xlfn.IFNA(_xlfn.SINGLE(INDEX(CONCATENATE(W2Pデータ貼り付け!V:V,"部"),MATCH(注文書!$A63,W2Pデータ貼り付け!$AM:$AM,0))),"")</f>
        <v/>
      </c>
      <c r="G63" s="24"/>
      <c r="H63" s="24"/>
      <c r="I63" s="24"/>
    </row>
    <row r="64" spans="1:9" ht="14.25" customHeight="1" x14ac:dyDescent="0.25">
      <c r="A64" s="217"/>
      <c r="B64" s="25" t="str">
        <f>IFERROR(MID(_xlfn.IFNA(INDEX(W2Pデータ貼り付け!B:B,MATCH(注文書!$A63,W2Pデータ貼り付け!$AM:$AM,0)),""),FIND("-",_xlfn.IFNA(INDEX(W2Pデータ貼り付け!B:B,MATCH(注文書!$A63,W2Pデータ貼り付け!$AM:$AM,0)),"")),LEN(_xlfn.IFNA(INDEX(W2Pデータ貼り付け!B:B,MATCH(注文書!$A63,W2Pデータ貼り付け!$AM:$AM,0)),""))),"")</f>
        <v/>
      </c>
      <c r="C64" s="223"/>
      <c r="D64" s="18" t="str">
        <f>_xlfn.IFNA(INDEX(W2Pデータ貼り付け!N:N,MATCH(注文書!$A63,W2Pデータ貼り付け!$AM:$AM,0)),"")</f>
        <v/>
      </c>
      <c r="E64" s="18"/>
      <c r="F64" s="26" t="str">
        <f>_xlfn.IFNA(INDEX(W2Pデータ貼り付け!AK:AK,MATCH(注文書!$A63,W2Pデータ貼り付け!$AM:$AM,0)),"")</f>
        <v/>
      </c>
      <c r="G64" s="27"/>
      <c r="H64" s="27"/>
      <c r="I64" s="27"/>
    </row>
    <row r="65" spans="1:9" ht="14.25" customHeight="1" x14ac:dyDescent="0.25">
      <c r="A65" s="218"/>
      <c r="B65" s="36" t="str">
        <f ca="1">IF(B63&lt;&gt;"",TODAY(),"")</f>
        <v/>
      </c>
      <c r="C65" s="224"/>
      <c r="D65" s="19" t="str">
        <f>_xlfn.IFNA(INDEX(W2Pデータ貼り付け!O:O,MATCH(注文書!$A63,W2Pデータ貼り付け!$AM:$AM,0)),"")</f>
        <v/>
      </c>
      <c r="E65" s="19" t="str">
        <f>_xlfn.IFNA(INDEX(W2Pデータ貼り付け!U:U,MATCH(注文書!$A63,W2Pデータ貼り付け!$AM:$AM,0)),"")</f>
        <v/>
      </c>
      <c r="F65" s="28" t="str">
        <f>_xlfn.IFNA(INDEX(W2Pデータ貼り付け!AL:AL,MATCH(注文書!$A63,W2Pデータ貼り付け!$AM:$AM,0)),"")</f>
        <v/>
      </c>
      <c r="G65" s="29"/>
      <c r="H65" s="29"/>
      <c r="I65" s="29"/>
    </row>
    <row r="66" spans="1:9" ht="14.25" customHeight="1" x14ac:dyDescent="0.25">
      <c r="A66" s="216">
        <v>21</v>
      </c>
      <c r="B66" s="22" t="str">
        <f>IFERROR(LEFT(_xlfn.IFNA(INDEX(W2Pデータ貼り付け!B:B,MATCH(注文書!$A66,W2Pデータ貼り付け!$AM:$AM,0)),""),FIND("-",_xlfn.IFNA(INDEX(W2Pデータ貼り付け!B:B,MATCH(注文書!$A66,W2Pデータ貼り付け!$AM:$AM,0)),""))-1),_xlfn.IFNA(INDEX(W2Pデータ貼り付け!B:B,MATCH(注文書!$A66,W2Pデータ貼り付け!$AM:$AM,0)),""))</f>
        <v/>
      </c>
      <c r="C66" s="222" t="str">
        <f>_xlfn.IFNA(DATEVALUE(TEXT(INDEX(W2Pデータ貼り付け!AF:AF,MATCH(注文書!$A66,W2Pデータ貼り付け!$AM:$AM,0)),"0000!/00!/00")),"")</f>
        <v/>
      </c>
      <c r="D66" s="17" t="str">
        <f>_xlfn.IFNA(INDEX(W2Pデータ貼り付け!M:M,MATCH(注文書!$A66,W2Pデータ貼り付け!$AM:$AM,0)),"")</f>
        <v/>
      </c>
      <c r="E66" s="17" t="str">
        <f>_xlfn.IFNA(INDEX(W2Pデータ貼り付け!T:T,MATCH(注文書!$A66,W2Pデータ貼り付け!$AM:$AM,0)),"")</f>
        <v/>
      </c>
      <c r="F66" s="23" t="str" cm="1">
        <f t="array" ref="F66">_xlfn.IFNA(_xlfn.SINGLE(INDEX(CONCATENATE(W2Pデータ貼り付け!V:V,"部"),MATCH(注文書!$A66,W2Pデータ貼り付け!$AM:$AM,0))),"")</f>
        <v/>
      </c>
      <c r="G66" s="24"/>
      <c r="H66" s="24"/>
      <c r="I66" s="24"/>
    </row>
    <row r="67" spans="1:9" ht="14.25" customHeight="1" x14ac:dyDescent="0.25">
      <c r="A67" s="217"/>
      <c r="B67" s="25" t="str">
        <f>IFERROR(MID(_xlfn.IFNA(INDEX(W2Pデータ貼り付け!B:B,MATCH(注文書!$A66,W2Pデータ貼り付け!$AM:$AM,0)),""),FIND("-",_xlfn.IFNA(INDEX(W2Pデータ貼り付け!B:B,MATCH(注文書!$A66,W2Pデータ貼り付け!$AM:$AM,0)),"")),LEN(_xlfn.IFNA(INDEX(W2Pデータ貼り付け!B:B,MATCH(注文書!$A66,W2Pデータ貼り付け!$AM:$AM,0)),""))),"")</f>
        <v/>
      </c>
      <c r="C67" s="223"/>
      <c r="D67" s="18" t="str">
        <f>_xlfn.IFNA(INDEX(W2Pデータ貼り付け!N:N,MATCH(注文書!$A66,W2Pデータ貼り付け!$AM:$AM,0)),"")</f>
        <v/>
      </c>
      <c r="E67" s="18"/>
      <c r="F67" s="26" t="str">
        <f>_xlfn.IFNA(INDEX(W2Pデータ貼り付け!AK:AK,MATCH(注文書!$A66,W2Pデータ貼り付け!$AM:$AM,0)),"")</f>
        <v/>
      </c>
      <c r="G67" s="27"/>
      <c r="H67" s="27"/>
      <c r="I67" s="27"/>
    </row>
    <row r="68" spans="1:9" ht="14.25" customHeight="1" x14ac:dyDescent="0.25">
      <c r="A68" s="218"/>
      <c r="B68" s="36" t="str">
        <f ca="1">IF(B66&lt;&gt;"",TODAY(),"")</f>
        <v/>
      </c>
      <c r="C68" s="224"/>
      <c r="D68" s="19" t="str">
        <f>_xlfn.IFNA(INDEX(W2Pデータ貼り付け!O:O,MATCH(注文書!$A66,W2Pデータ貼り付け!$AM:$AM,0)),"")</f>
        <v/>
      </c>
      <c r="E68" s="19" t="str">
        <f>_xlfn.IFNA(INDEX(W2Pデータ貼り付け!U:U,MATCH(注文書!$A66,W2Pデータ貼り付け!$AM:$AM,0)),"")</f>
        <v/>
      </c>
      <c r="F68" s="28" t="str">
        <f>_xlfn.IFNA(INDEX(W2Pデータ貼り付け!AL:AL,MATCH(注文書!$A66,W2Pデータ貼り付け!$AM:$AM,0)),"")</f>
        <v/>
      </c>
      <c r="G68" s="29"/>
      <c r="H68" s="29"/>
      <c r="I68" s="29"/>
    </row>
    <row r="69" spans="1:9" ht="14.25" customHeight="1" x14ac:dyDescent="0.25">
      <c r="A69" s="216">
        <v>22</v>
      </c>
      <c r="B69" s="22" t="str">
        <f>IFERROR(LEFT(_xlfn.IFNA(INDEX(W2Pデータ貼り付け!B:B,MATCH(注文書!$A69,W2Pデータ貼り付け!$AM:$AM,0)),""),FIND("-",_xlfn.IFNA(INDEX(W2Pデータ貼り付け!B:B,MATCH(注文書!$A69,W2Pデータ貼り付け!$AM:$AM,0)),""))-1),_xlfn.IFNA(INDEX(W2Pデータ貼り付け!B:B,MATCH(注文書!$A69,W2Pデータ貼り付け!$AM:$AM,0)),""))</f>
        <v/>
      </c>
      <c r="C69" s="222" t="str">
        <f>_xlfn.IFNA(DATEVALUE(TEXT(INDEX(W2Pデータ貼り付け!AF:AF,MATCH(注文書!$A69,W2Pデータ貼り付け!$AM:$AM,0)),"0000!/00!/00")),"")</f>
        <v/>
      </c>
      <c r="D69" s="17" t="str">
        <f>_xlfn.IFNA(INDEX(W2Pデータ貼り付け!M:M,MATCH(注文書!$A69,W2Pデータ貼り付け!$AM:$AM,0)),"")</f>
        <v/>
      </c>
      <c r="E69" s="17" t="str">
        <f>_xlfn.IFNA(INDEX(W2Pデータ貼り付け!T:T,MATCH(注文書!$A69,W2Pデータ貼り付け!$AM:$AM,0)),"")</f>
        <v/>
      </c>
      <c r="F69" s="23" t="str" cm="1">
        <f t="array" ref="F69">_xlfn.IFNA(_xlfn.SINGLE(INDEX(CONCATENATE(W2Pデータ貼り付け!V:V,"部"),MATCH(注文書!$A69,W2Pデータ貼り付け!$AM:$AM,0))),"")</f>
        <v/>
      </c>
      <c r="G69" s="24"/>
      <c r="H69" s="24"/>
      <c r="I69" s="24"/>
    </row>
    <row r="70" spans="1:9" ht="14.25" customHeight="1" x14ac:dyDescent="0.25">
      <c r="A70" s="217"/>
      <c r="B70" s="25" t="str">
        <f>IFERROR(MID(_xlfn.IFNA(INDEX(W2Pデータ貼り付け!B:B,MATCH(注文書!$A69,W2Pデータ貼り付け!$AM:$AM,0)),""),FIND("-",_xlfn.IFNA(INDEX(W2Pデータ貼り付け!B:B,MATCH(注文書!$A69,W2Pデータ貼り付け!$AM:$AM,0)),"")),LEN(_xlfn.IFNA(INDEX(W2Pデータ貼り付け!B:B,MATCH(注文書!$A69,W2Pデータ貼り付け!$AM:$AM,0)),""))),"")</f>
        <v/>
      </c>
      <c r="C70" s="223"/>
      <c r="D70" s="18" t="str">
        <f>_xlfn.IFNA(INDEX(W2Pデータ貼り付け!N:N,MATCH(注文書!$A69,W2Pデータ貼り付け!$AM:$AM,0)),"")</f>
        <v/>
      </c>
      <c r="E70" s="18"/>
      <c r="F70" s="26" t="str">
        <f>_xlfn.IFNA(INDEX(W2Pデータ貼り付け!AK:AK,MATCH(注文書!$A69,W2Pデータ貼り付け!$AM:$AM,0)),"")</f>
        <v/>
      </c>
      <c r="G70" s="27"/>
      <c r="H70" s="27"/>
      <c r="I70" s="27"/>
    </row>
    <row r="71" spans="1:9" ht="14.25" customHeight="1" x14ac:dyDescent="0.25">
      <c r="A71" s="218"/>
      <c r="B71" s="36" t="str">
        <f ca="1">IF(B69&lt;&gt;"",TODAY(),"")</f>
        <v/>
      </c>
      <c r="C71" s="224"/>
      <c r="D71" s="19" t="str">
        <f>_xlfn.IFNA(INDEX(W2Pデータ貼り付け!O:O,MATCH(注文書!$A69,W2Pデータ貼り付け!$AM:$AM,0)),"")</f>
        <v/>
      </c>
      <c r="E71" s="19" t="str">
        <f>_xlfn.IFNA(INDEX(W2Pデータ貼り付け!U:U,MATCH(注文書!$A69,W2Pデータ貼り付け!$AM:$AM,0)),"")</f>
        <v/>
      </c>
      <c r="F71" s="28" t="str">
        <f>_xlfn.IFNA(INDEX(W2Pデータ貼り付け!AL:AL,MATCH(注文書!$A69,W2Pデータ貼り付け!$AM:$AM,0)),"")</f>
        <v/>
      </c>
      <c r="G71" s="29"/>
      <c r="H71" s="29"/>
      <c r="I71" s="29"/>
    </row>
    <row r="72" spans="1:9" ht="14.25" customHeight="1" x14ac:dyDescent="0.25">
      <c r="A72" s="216">
        <v>23</v>
      </c>
      <c r="B72" s="22" t="str">
        <f>IFERROR(LEFT(_xlfn.IFNA(INDEX(W2Pデータ貼り付け!B:B,MATCH(注文書!$A72,W2Pデータ貼り付け!$AM:$AM,0)),""),FIND("-",_xlfn.IFNA(INDEX(W2Pデータ貼り付け!B:B,MATCH(注文書!$A72,W2Pデータ貼り付け!$AM:$AM,0)),""))-1),_xlfn.IFNA(INDEX(W2Pデータ貼り付け!B:B,MATCH(注文書!$A72,W2Pデータ貼り付け!$AM:$AM,0)),""))</f>
        <v/>
      </c>
      <c r="C72" s="222" t="str">
        <f>_xlfn.IFNA(DATEVALUE(TEXT(INDEX(W2Pデータ貼り付け!AF:AF,MATCH(注文書!$A72,W2Pデータ貼り付け!$AM:$AM,0)),"0000!/00!/00")),"")</f>
        <v/>
      </c>
      <c r="D72" s="17" t="str">
        <f>_xlfn.IFNA(INDEX(W2Pデータ貼り付け!M:M,MATCH(注文書!$A72,W2Pデータ貼り付け!$AM:$AM,0)),"")</f>
        <v/>
      </c>
      <c r="E72" s="17" t="str">
        <f>_xlfn.IFNA(INDEX(W2Pデータ貼り付け!T:T,MATCH(注文書!$A72,W2Pデータ貼り付け!$AM:$AM,0)),"")</f>
        <v/>
      </c>
      <c r="F72" s="23" t="str" cm="1">
        <f t="array" ref="F72">_xlfn.IFNA(_xlfn.SINGLE(INDEX(CONCATENATE(W2Pデータ貼り付け!V:V,"部"),MATCH(注文書!$A72,W2Pデータ貼り付け!$AM:$AM,0))),"")</f>
        <v/>
      </c>
      <c r="G72" s="24"/>
      <c r="H72" s="24"/>
      <c r="I72" s="24"/>
    </row>
    <row r="73" spans="1:9" ht="14.25" customHeight="1" x14ac:dyDescent="0.25">
      <c r="A73" s="217"/>
      <c r="B73" s="25" t="str">
        <f>IFERROR(MID(_xlfn.IFNA(INDEX(W2Pデータ貼り付け!B:B,MATCH(注文書!$A72,W2Pデータ貼り付け!$AM:$AM,0)),""),FIND("-",_xlfn.IFNA(INDEX(W2Pデータ貼り付け!B:B,MATCH(注文書!$A72,W2Pデータ貼り付け!$AM:$AM,0)),"")),LEN(_xlfn.IFNA(INDEX(W2Pデータ貼り付け!B:B,MATCH(注文書!$A72,W2Pデータ貼り付け!$AM:$AM,0)),""))),"")</f>
        <v/>
      </c>
      <c r="C73" s="223"/>
      <c r="D73" s="18" t="str">
        <f>_xlfn.IFNA(INDEX(W2Pデータ貼り付け!N:N,MATCH(注文書!$A72,W2Pデータ貼り付け!$AM:$AM,0)),"")</f>
        <v/>
      </c>
      <c r="E73" s="18"/>
      <c r="F73" s="26" t="str">
        <f>_xlfn.IFNA(INDEX(W2Pデータ貼り付け!AK:AK,MATCH(注文書!$A72,W2Pデータ貼り付け!$AM:$AM,0)),"")</f>
        <v/>
      </c>
      <c r="G73" s="27"/>
      <c r="H73" s="27"/>
      <c r="I73" s="27"/>
    </row>
    <row r="74" spans="1:9" ht="14.25" customHeight="1" x14ac:dyDescent="0.25">
      <c r="A74" s="218"/>
      <c r="B74" s="36" t="str">
        <f ca="1">IF(B72&lt;&gt;"",TODAY(),"")</f>
        <v/>
      </c>
      <c r="C74" s="224"/>
      <c r="D74" s="19" t="str">
        <f>_xlfn.IFNA(INDEX(W2Pデータ貼り付け!O:O,MATCH(注文書!$A72,W2Pデータ貼り付け!$AM:$AM,0)),"")</f>
        <v/>
      </c>
      <c r="E74" s="19" t="str">
        <f>_xlfn.IFNA(INDEX(W2Pデータ貼り付け!U:U,MATCH(注文書!$A72,W2Pデータ貼り付け!$AM:$AM,0)),"")</f>
        <v/>
      </c>
      <c r="F74" s="28" t="str">
        <f>_xlfn.IFNA(INDEX(W2Pデータ貼り付け!AL:AL,MATCH(注文書!$A72,W2Pデータ貼り付け!$AM:$AM,0)),"")</f>
        <v/>
      </c>
      <c r="G74" s="29"/>
      <c r="H74" s="29"/>
      <c r="I74" s="29"/>
    </row>
    <row r="75" spans="1:9" ht="14.25" customHeight="1" x14ac:dyDescent="0.25">
      <c r="A75" s="216">
        <v>24</v>
      </c>
      <c r="B75" s="22" t="str">
        <f>IFERROR(LEFT(_xlfn.IFNA(INDEX(W2Pデータ貼り付け!B:B,MATCH(注文書!$A75,W2Pデータ貼り付け!$AM:$AM,0)),""),FIND("-",_xlfn.IFNA(INDEX(W2Pデータ貼り付け!B:B,MATCH(注文書!$A75,W2Pデータ貼り付け!$AM:$AM,0)),""))-1),_xlfn.IFNA(INDEX(W2Pデータ貼り付け!B:B,MATCH(注文書!$A75,W2Pデータ貼り付け!$AM:$AM,0)),""))</f>
        <v/>
      </c>
      <c r="C75" s="222" t="str">
        <f>_xlfn.IFNA(DATEVALUE(TEXT(INDEX(W2Pデータ貼り付け!AF:AF,MATCH(注文書!$A75,W2Pデータ貼り付け!$AM:$AM,0)),"0000!/00!/00")),"")</f>
        <v/>
      </c>
      <c r="D75" s="17" t="str">
        <f>_xlfn.IFNA(INDEX(W2Pデータ貼り付け!M:M,MATCH(注文書!$A75,W2Pデータ貼り付け!$AM:$AM,0)),"")</f>
        <v/>
      </c>
      <c r="E75" s="17" t="str">
        <f>_xlfn.IFNA(INDEX(W2Pデータ貼り付け!T:T,MATCH(注文書!$A75,W2Pデータ貼り付け!$AM:$AM,0)),"")</f>
        <v/>
      </c>
      <c r="F75" s="23" t="str" cm="1">
        <f t="array" ref="F75">_xlfn.IFNA(_xlfn.SINGLE(INDEX(CONCATENATE(W2Pデータ貼り付け!V:V,"部"),MATCH(注文書!$A75,W2Pデータ貼り付け!$AM:$AM,0))),"")</f>
        <v/>
      </c>
      <c r="G75" s="24"/>
      <c r="H75" s="24"/>
      <c r="I75" s="24"/>
    </row>
    <row r="76" spans="1:9" ht="14.25" customHeight="1" x14ac:dyDescent="0.25">
      <c r="A76" s="217"/>
      <c r="B76" s="25" t="str">
        <f>IFERROR(MID(_xlfn.IFNA(INDEX(W2Pデータ貼り付け!B:B,MATCH(注文書!$A75,W2Pデータ貼り付け!$AM:$AM,0)),""),FIND("-",_xlfn.IFNA(INDEX(W2Pデータ貼り付け!B:B,MATCH(注文書!$A75,W2Pデータ貼り付け!$AM:$AM,0)),"")),LEN(_xlfn.IFNA(INDEX(W2Pデータ貼り付け!B:B,MATCH(注文書!$A75,W2Pデータ貼り付け!$AM:$AM,0)),""))),"")</f>
        <v/>
      </c>
      <c r="C76" s="223"/>
      <c r="D76" s="18" t="str">
        <f>_xlfn.IFNA(INDEX(W2Pデータ貼り付け!N:N,MATCH(注文書!$A75,W2Pデータ貼り付け!$AM:$AM,0)),"")</f>
        <v/>
      </c>
      <c r="E76" s="18"/>
      <c r="F76" s="26" t="str">
        <f>_xlfn.IFNA(INDEX(W2Pデータ貼り付け!AK:AK,MATCH(注文書!$A75,W2Pデータ貼り付け!$AM:$AM,0)),"")</f>
        <v/>
      </c>
      <c r="G76" s="27"/>
      <c r="H76" s="27"/>
      <c r="I76" s="27"/>
    </row>
    <row r="77" spans="1:9" ht="14.25" customHeight="1" x14ac:dyDescent="0.25">
      <c r="A77" s="218"/>
      <c r="B77" s="36" t="str">
        <f ca="1">IF(B75&lt;&gt;"",TODAY(),"")</f>
        <v/>
      </c>
      <c r="C77" s="224"/>
      <c r="D77" s="19" t="str">
        <f>_xlfn.IFNA(INDEX(W2Pデータ貼り付け!O:O,MATCH(注文書!$A75,W2Pデータ貼り付け!$AM:$AM,0)),"")</f>
        <v/>
      </c>
      <c r="E77" s="19" t="str">
        <f>_xlfn.IFNA(INDEX(W2Pデータ貼り付け!U:U,MATCH(注文書!$A75,W2Pデータ貼り付け!$AM:$AM,0)),"")</f>
        <v/>
      </c>
      <c r="F77" s="28" t="str">
        <f>_xlfn.IFNA(INDEX(W2Pデータ貼り付け!AL:AL,MATCH(注文書!$A75,W2Pデータ貼り付け!$AM:$AM,0)),"")</f>
        <v/>
      </c>
      <c r="G77" s="29"/>
      <c r="H77" s="29"/>
      <c r="I77" s="29"/>
    </row>
    <row r="78" spans="1:9" ht="14.25" customHeight="1" x14ac:dyDescent="0.25">
      <c r="A78" s="216">
        <v>25</v>
      </c>
      <c r="B78" s="22" t="str">
        <f>IFERROR(LEFT(_xlfn.IFNA(INDEX(W2Pデータ貼り付け!B:B,MATCH(注文書!$A78,W2Pデータ貼り付け!$AM:$AM,0)),""),FIND("-",_xlfn.IFNA(INDEX(W2Pデータ貼り付け!B:B,MATCH(注文書!$A78,W2Pデータ貼り付け!$AM:$AM,0)),""))-1),_xlfn.IFNA(INDEX(W2Pデータ貼り付け!B:B,MATCH(注文書!$A78,W2Pデータ貼り付け!$AM:$AM,0)),""))</f>
        <v/>
      </c>
      <c r="C78" s="222" t="str">
        <f>_xlfn.IFNA(DATEVALUE(TEXT(INDEX(W2Pデータ貼り付け!AF:AF,MATCH(注文書!$A78,W2Pデータ貼り付け!$AM:$AM,0)),"0000!/00!/00")),"")</f>
        <v/>
      </c>
      <c r="D78" s="17" t="str">
        <f>_xlfn.IFNA(INDEX(W2Pデータ貼り付け!M:M,MATCH(注文書!$A78,W2Pデータ貼り付け!$AM:$AM,0)),"")</f>
        <v/>
      </c>
      <c r="E78" s="17" t="str">
        <f>_xlfn.IFNA(INDEX(W2Pデータ貼り付け!T:T,MATCH(注文書!$A78,W2Pデータ貼り付け!$AM:$AM,0)),"")</f>
        <v/>
      </c>
      <c r="F78" s="23" t="str" cm="1">
        <f t="array" ref="F78">_xlfn.IFNA(_xlfn.SINGLE(INDEX(CONCATENATE(W2Pデータ貼り付け!V:V,"部"),MATCH(注文書!$A78,W2Pデータ貼り付け!$AM:$AM,0))),"")</f>
        <v/>
      </c>
      <c r="G78" s="24"/>
      <c r="H78" s="24"/>
      <c r="I78" s="24"/>
    </row>
    <row r="79" spans="1:9" ht="14.25" customHeight="1" x14ac:dyDescent="0.25">
      <c r="A79" s="217"/>
      <c r="B79" s="25" t="str">
        <f>IFERROR(MID(_xlfn.IFNA(INDEX(W2Pデータ貼り付け!B:B,MATCH(注文書!$A78,W2Pデータ貼り付け!$AM:$AM,0)),""),FIND("-",_xlfn.IFNA(INDEX(W2Pデータ貼り付け!B:B,MATCH(注文書!$A78,W2Pデータ貼り付け!$AM:$AM,0)),"")),LEN(_xlfn.IFNA(INDEX(W2Pデータ貼り付け!B:B,MATCH(注文書!$A78,W2Pデータ貼り付け!$AM:$AM,0)),""))),"")</f>
        <v/>
      </c>
      <c r="C79" s="223"/>
      <c r="D79" s="18" t="str">
        <f>_xlfn.IFNA(INDEX(W2Pデータ貼り付け!N:N,MATCH(注文書!$A78,W2Pデータ貼り付け!$AM:$AM,0)),"")</f>
        <v/>
      </c>
      <c r="E79" s="18"/>
      <c r="F79" s="26" t="str">
        <f>_xlfn.IFNA(INDEX(W2Pデータ貼り付け!AK:AK,MATCH(注文書!$A78,W2Pデータ貼り付け!$AM:$AM,0)),"")</f>
        <v/>
      </c>
      <c r="G79" s="27"/>
      <c r="H79" s="27"/>
      <c r="I79" s="27"/>
    </row>
    <row r="80" spans="1:9" ht="14.25" customHeight="1" x14ac:dyDescent="0.25">
      <c r="A80" s="218"/>
      <c r="B80" s="36" t="str">
        <f ca="1">IF(B78&lt;&gt;"",TODAY(),"")</f>
        <v/>
      </c>
      <c r="C80" s="224"/>
      <c r="D80" s="19" t="str">
        <f>_xlfn.IFNA(INDEX(W2Pデータ貼り付け!O:O,MATCH(注文書!$A78,W2Pデータ貼り付け!$AM:$AM,0)),"")</f>
        <v/>
      </c>
      <c r="E80" s="19" t="str">
        <f>_xlfn.IFNA(INDEX(W2Pデータ貼り付け!U:U,MATCH(注文書!$A78,W2Pデータ貼り付け!$AM:$AM,0)),"")</f>
        <v/>
      </c>
      <c r="F80" s="28" t="str">
        <f>_xlfn.IFNA(INDEX(W2Pデータ貼り付け!AL:AL,MATCH(注文書!$A78,W2Pデータ貼り付け!$AM:$AM,0)),"")</f>
        <v/>
      </c>
      <c r="G80" s="29"/>
      <c r="H80" s="29"/>
      <c r="I80" s="29"/>
    </row>
    <row r="81" spans="1:9" ht="14.25" customHeight="1" x14ac:dyDescent="0.25">
      <c r="A81" s="216">
        <v>26</v>
      </c>
      <c r="B81" s="22" t="str">
        <f>IFERROR(LEFT(_xlfn.IFNA(INDEX(W2Pデータ貼り付け!B:B,MATCH(注文書!$A81,W2Pデータ貼り付け!$AM:$AM,0)),""),FIND("-",_xlfn.IFNA(INDEX(W2Pデータ貼り付け!B:B,MATCH(注文書!$A81,W2Pデータ貼り付け!$AM:$AM,0)),""))-1),_xlfn.IFNA(INDEX(W2Pデータ貼り付け!B:B,MATCH(注文書!$A81,W2Pデータ貼り付け!$AM:$AM,0)),""))</f>
        <v/>
      </c>
      <c r="C81" s="222" t="str">
        <f>_xlfn.IFNA(DATEVALUE(TEXT(INDEX(W2Pデータ貼り付け!AF:AF,MATCH(注文書!$A81,W2Pデータ貼り付け!$AM:$AM,0)),"0000!/00!/00")),"")</f>
        <v/>
      </c>
      <c r="D81" s="17" t="str">
        <f>_xlfn.IFNA(INDEX(W2Pデータ貼り付け!M:M,MATCH(注文書!$A81,W2Pデータ貼り付け!$AM:$AM,0)),"")</f>
        <v/>
      </c>
      <c r="E81" s="17" t="str">
        <f>_xlfn.IFNA(INDEX(W2Pデータ貼り付け!T:T,MATCH(注文書!$A81,W2Pデータ貼り付け!$AM:$AM,0)),"")</f>
        <v/>
      </c>
      <c r="F81" s="23" t="str" cm="1">
        <f t="array" ref="F81">_xlfn.IFNA(_xlfn.SINGLE(INDEX(CONCATENATE(W2Pデータ貼り付け!V:V,"部"),MATCH(注文書!$A81,W2Pデータ貼り付け!$AM:$AM,0))),"")</f>
        <v/>
      </c>
      <c r="G81" s="24"/>
      <c r="H81" s="24"/>
      <c r="I81" s="24"/>
    </row>
    <row r="82" spans="1:9" ht="14.25" customHeight="1" x14ac:dyDescent="0.25">
      <c r="A82" s="217"/>
      <c r="B82" s="25" t="str">
        <f>IFERROR(MID(_xlfn.IFNA(INDEX(W2Pデータ貼り付け!B:B,MATCH(注文書!$A81,W2Pデータ貼り付け!$AM:$AM,0)),""),FIND("-",_xlfn.IFNA(INDEX(W2Pデータ貼り付け!B:B,MATCH(注文書!$A81,W2Pデータ貼り付け!$AM:$AM,0)),"")),LEN(_xlfn.IFNA(INDEX(W2Pデータ貼り付け!B:B,MATCH(注文書!$A81,W2Pデータ貼り付け!$AM:$AM,0)),""))),"")</f>
        <v/>
      </c>
      <c r="C82" s="223"/>
      <c r="D82" s="18" t="str">
        <f>_xlfn.IFNA(INDEX(W2Pデータ貼り付け!N:N,MATCH(注文書!$A81,W2Pデータ貼り付け!$AM:$AM,0)),"")</f>
        <v/>
      </c>
      <c r="E82" s="18"/>
      <c r="F82" s="26" t="str">
        <f>_xlfn.IFNA(INDEX(W2Pデータ貼り付け!AK:AK,MATCH(注文書!$A81,W2Pデータ貼り付け!$AM:$AM,0)),"")</f>
        <v/>
      </c>
      <c r="G82" s="27"/>
      <c r="H82" s="27"/>
      <c r="I82" s="27"/>
    </row>
    <row r="83" spans="1:9" ht="14.25" customHeight="1" x14ac:dyDescent="0.25">
      <c r="A83" s="218"/>
      <c r="B83" s="36" t="str">
        <f ca="1">IF(B81&lt;&gt;"",TODAY(),"")</f>
        <v/>
      </c>
      <c r="C83" s="224"/>
      <c r="D83" s="19" t="str">
        <f>_xlfn.IFNA(INDEX(W2Pデータ貼り付け!O:O,MATCH(注文書!$A81,W2Pデータ貼り付け!$AM:$AM,0)),"")</f>
        <v/>
      </c>
      <c r="E83" s="19" t="str">
        <f>_xlfn.IFNA(INDEX(W2Pデータ貼り付け!U:U,MATCH(注文書!$A81,W2Pデータ貼り付け!$AM:$AM,0)),"")</f>
        <v/>
      </c>
      <c r="F83" s="28" t="str">
        <f>_xlfn.IFNA(INDEX(W2Pデータ貼り付け!AL:AL,MATCH(注文書!$A81,W2Pデータ貼り付け!$AM:$AM,0)),"")</f>
        <v/>
      </c>
      <c r="G83" s="29"/>
      <c r="H83" s="29"/>
      <c r="I83" s="29"/>
    </row>
    <row r="84" spans="1:9" ht="14.25" customHeight="1" x14ac:dyDescent="0.25">
      <c r="A84" s="216">
        <v>27</v>
      </c>
      <c r="B84" s="22" t="str">
        <f>IFERROR(LEFT(_xlfn.IFNA(INDEX(W2Pデータ貼り付け!B:B,MATCH(注文書!$A84,W2Pデータ貼り付け!$AM:$AM,0)),""),FIND("-",_xlfn.IFNA(INDEX(W2Pデータ貼り付け!B:B,MATCH(注文書!$A84,W2Pデータ貼り付け!$AM:$AM,0)),""))-1),_xlfn.IFNA(INDEX(W2Pデータ貼り付け!B:B,MATCH(注文書!$A84,W2Pデータ貼り付け!$AM:$AM,0)),""))</f>
        <v/>
      </c>
      <c r="C84" s="222" t="str">
        <f>_xlfn.IFNA(DATEVALUE(TEXT(INDEX(W2Pデータ貼り付け!AF:AF,MATCH(注文書!$A84,W2Pデータ貼り付け!$AM:$AM,0)),"0000!/00!/00")),"")</f>
        <v/>
      </c>
      <c r="D84" s="17" t="str">
        <f>_xlfn.IFNA(INDEX(W2Pデータ貼り付け!M:M,MATCH(注文書!$A84,W2Pデータ貼り付け!$AM:$AM,0)),"")</f>
        <v/>
      </c>
      <c r="E84" s="17" t="str">
        <f>_xlfn.IFNA(INDEX(W2Pデータ貼り付け!T:T,MATCH(注文書!$A84,W2Pデータ貼り付け!$AM:$AM,0)),"")</f>
        <v/>
      </c>
      <c r="F84" s="23" t="str" cm="1">
        <f t="array" ref="F84">_xlfn.IFNA(_xlfn.SINGLE(INDEX(CONCATENATE(W2Pデータ貼り付け!V:V,"部"),MATCH(注文書!$A84,W2Pデータ貼り付け!$AM:$AM,0))),"")</f>
        <v/>
      </c>
      <c r="G84" s="24"/>
      <c r="H84" s="24"/>
      <c r="I84" s="24"/>
    </row>
    <row r="85" spans="1:9" ht="14.25" customHeight="1" x14ac:dyDescent="0.25">
      <c r="A85" s="217"/>
      <c r="B85" s="25" t="str">
        <f>IFERROR(MID(_xlfn.IFNA(INDEX(W2Pデータ貼り付け!B:B,MATCH(注文書!$A84,W2Pデータ貼り付け!$AM:$AM,0)),""),FIND("-",_xlfn.IFNA(INDEX(W2Pデータ貼り付け!B:B,MATCH(注文書!$A84,W2Pデータ貼り付け!$AM:$AM,0)),"")),LEN(_xlfn.IFNA(INDEX(W2Pデータ貼り付け!B:B,MATCH(注文書!$A84,W2Pデータ貼り付け!$AM:$AM,0)),""))),"")</f>
        <v/>
      </c>
      <c r="C85" s="223"/>
      <c r="D85" s="18" t="str">
        <f>_xlfn.IFNA(INDEX(W2Pデータ貼り付け!N:N,MATCH(注文書!$A84,W2Pデータ貼り付け!$AM:$AM,0)),"")</f>
        <v/>
      </c>
      <c r="E85" s="18"/>
      <c r="F85" s="26" t="str">
        <f>_xlfn.IFNA(INDEX(W2Pデータ貼り付け!AK:AK,MATCH(注文書!$A84,W2Pデータ貼り付け!$AM:$AM,0)),"")</f>
        <v/>
      </c>
      <c r="G85" s="27"/>
      <c r="H85" s="27"/>
      <c r="I85" s="27"/>
    </row>
    <row r="86" spans="1:9" ht="14.25" customHeight="1" x14ac:dyDescent="0.25">
      <c r="A86" s="218"/>
      <c r="B86" s="36" t="str">
        <f ca="1">IF(B84&lt;&gt;"",TODAY(),"")</f>
        <v/>
      </c>
      <c r="C86" s="224"/>
      <c r="D86" s="19" t="str">
        <f>_xlfn.IFNA(INDEX(W2Pデータ貼り付け!O:O,MATCH(注文書!$A84,W2Pデータ貼り付け!$AM:$AM,0)),"")</f>
        <v/>
      </c>
      <c r="E86" s="19" t="str">
        <f>_xlfn.IFNA(INDEX(W2Pデータ貼り付け!U:U,MATCH(注文書!$A84,W2Pデータ貼り付け!$AM:$AM,0)),"")</f>
        <v/>
      </c>
      <c r="F86" s="28" t="str">
        <f>_xlfn.IFNA(INDEX(W2Pデータ貼り付け!AL:AL,MATCH(注文書!$A84,W2Pデータ貼り付け!$AM:$AM,0)),"")</f>
        <v/>
      </c>
      <c r="G86" s="29"/>
      <c r="H86" s="29"/>
      <c r="I86" s="29"/>
    </row>
    <row r="87" spans="1:9" ht="14.25" customHeight="1" x14ac:dyDescent="0.25">
      <c r="A87" s="216">
        <v>28</v>
      </c>
      <c r="B87" s="22" t="str">
        <f>IFERROR(LEFT(_xlfn.IFNA(INDEX(W2Pデータ貼り付け!B:B,MATCH(注文書!$A87,W2Pデータ貼り付け!$AM:$AM,0)),""),FIND("-",_xlfn.IFNA(INDEX(W2Pデータ貼り付け!B:B,MATCH(注文書!$A87,W2Pデータ貼り付け!$AM:$AM,0)),""))-1),_xlfn.IFNA(INDEX(W2Pデータ貼り付け!B:B,MATCH(注文書!$A87,W2Pデータ貼り付け!$AM:$AM,0)),""))</f>
        <v/>
      </c>
      <c r="C87" s="222" t="str">
        <f>_xlfn.IFNA(DATEVALUE(TEXT(INDEX(W2Pデータ貼り付け!AF:AF,MATCH(注文書!$A87,W2Pデータ貼り付け!$AM:$AM,0)),"0000!/00!/00")),"")</f>
        <v/>
      </c>
      <c r="D87" s="17" t="str">
        <f>_xlfn.IFNA(INDEX(W2Pデータ貼り付け!M:M,MATCH(注文書!$A87,W2Pデータ貼り付け!$AM:$AM,0)),"")</f>
        <v/>
      </c>
      <c r="E87" s="17" t="str">
        <f>_xlfn.IFNA(INDEX(W2Pデータ貼り付け!T:T,MATCH(注文書!$A87,W2Pデータ貼り付け!$AM:$AM,0)),"")</f>
        <v/>
      </c>
      <c r="F87" s="23" t="str" cm="1">
        <f t="array" ref="F87">_xlfn.IFNA(_xlfn.SINGLE(INDEX(CONCATENATE(W2Pデータ貼り付け!V:V,"部"),MATCH(注文書!$A87,W2Pデータ貼り付け!$AM:$AM,0))),"")</f>
        <v/>
      </c>
      <c r="G87" s="24"/>
      <c r="H87" s="24"/>
      <c r="I87" s="24"/>
    </row>
    <row r="88" spans="1:9" ht="14.25" customHeight="1" x14ac:dyDescent="0.25">
      <c r="A88" s="217"/>
      <c r="B88" s="25" t="str">
        <f>IFERROR(MID(_xlfn.IFNA(INDEX(W2Pデータ貼り付け!B:B,MATCH(注文書!$A87,W2Pデータ貼り付け!$AM:$AM,0)),""),FIND("-",_xlfn.IFNA(INDEX(W2Pデータ貼り付け!B:B,MATCH(注文書!$A87,W2Pデータ貼り付け!$AM:$AM,0)),"")),LEN(_xlfn.IFNA(INDEX(W2Pデータ貼り付け!B:B,MATCH(注文書!$A87,W2Pデータ貼り付け!$AM:$AM,0)),""))),"")</f>
        <v/>
      </c>
      <c r="C88" s="223"/>
      <c r="D88" s="18" t="str">
        <f>_xlfn.IFNA(INDEX(W2Pデータ貼り付け!N:N,MATCH(注文書!$A87,W2Pデータ貼り付け!$AM:$AM,0)),"")</f>
        <v/>
      </c>
      <c r="E88" s="18"/>
      <c r="F88" s="26" t="str">
        <f>_xlfn.IFNA(INDEX(W2Pデータ貼り付け!AK:AK,MATCH(注文書!$A87,W2Pデータ貼り付け!$AM:$AM,0)),"")</f>
        <v/>
      </c>
      <c r="G88" s="27"/>
      <c r="H88" s="27"/>
      <c r="I88" s="27"/>
    </row>
    <row r="89" spans="1:9" ht="14.25" customHeight="1" x14ac:dyDescent="0.25">
      <c r="A89" s="218"/>
      <c r="B89" s="36" t="str">
        <f ca="1">IF(B87&lt;&gt;"",TODAY(),"")</f>
        <v/>
      </c>
      <c r="C89" s="224"/>
      <c r="D89" s="19" t="str">
        <f>_xlfn.IFNA(INDEX(W2Pデータ貼り付け!O:O,MATCH(注文書!$A87,W2Pデータ貼り付け!$AM:$AM,0)),"")</f>
        <v/>
      </c>
      <c r="E89" s="19" t="str">
        <f>_xlfn.IFNA(INDEX(W2Pデータ貼り付け!U:U,MATCH(注文書!$A87,W2Pデータ貼り付け!$AM:$AM,0)),"")</f>
        <v/>
      </c>
      <c r="F89" s="28" t="str">
        <f>_xlfn.IFNA(INDEX(W2Pデータ貼り付け!AL:AL,MATCH(注文書!$A87,W2Pデータ貼り付け!$AM:$AM,0)),"")</f>
        <v/>
      </c>
      <c r="G89" s="29"/>
      <c r="H89" s="29"/>
      <c r="I89" s="29"/>
    </row>
    <row r="90" spans="1:9" ht="14.25" customHeight="1" x14ac:dyDescent="0.25">
      <c r="A90" s="216">
        <v>29</v>
      </c>
      <c r="B90" s="22" t="str">
        <f>IFERROR(LEFT(_xlfn.IFNA(INDEX(W2Pデータ貼り付け!B:B,MATCH(注文書!$A90,W2Pデータ貼り付け!$AM:$AM,0)),""),FIND("-",_xlfn.IFNA(INDEX(W2Pデータ貼り付け!B:B,MATCH(注文書!$A90,W2Pデータ貼り付け!$AM:$AM,0)),""))-1),_xlfn.IFNA(INDEX(W2Pデータ貼り付け!B:B,MATCH(注文書!$A90,W2Pデータ貼り付け!$AM:$AM,0)),""))</f>
        <v/>
      </c>
      <c r="C90" s="222" t="str">
        <f>_xlfn.IFNA(DATEVALUE(TEXT(INDEX(W2Pデータ貼り付け!AF:AF,MATCH(注文書!$A90,W2Pデータ貼り付け!$AM:$AM,0)),"0000!/00!/00")),"")</f>
        <v/>
      </c>
      <c r="D90" s="17" t="str">
        <f>_xlfn.IFNA(INDEX(W2Pデータ貼り付け!M:M,MATCH(注文書!$A90,W2Pデータ貼り付け!$AM:$AM,0)),"")</f>
        <v/>
      </c>
      <c r="E90" s="17" t="str">
        <f>_xlfn.IFNA(INDEX(W2Pデータ貼り付け!T:T,MATCH(注文書!$A90,W2Pデータ貼り付け!$AM:$AM,0)),"")</f>
        <v/>
      </c>
      <c r="F90" s="23" t="str" cm="1">
        <f t="array" ref="F90">_xlfn.IFNA(_xlfn.SINGLE(INDEX(CONCATENATE(W2Pデータ貼り付け!V:V,"部"),MATCH(注文書!$A90,W2Pデータ貼り付け!$AM:$AM,0))),"")</f>
        <v/>
      </c>
      <c r="G90" s="24"/>
      <c r="H90" s="24"/>
      <c r="I90" s="24"/>
    </row>
    <row r="91" spans="1:9" ht="14.25" customHeight="1" x14ac:dyDescent="0.25">
      <c r="A91" s="217"/>
      <c r="B91" s="25" t="str">
        <f>IFERROR(MID(_xlfn.IFNA(INDEX(W2Pデータ貼り付け!B:B,MATCH(注文書!$A90,W2Pデータ貼り付け!$AM:$AM,0)),""),FIND("-",_xlfn.IFNA(INDEX(W2Pデータ貼り付け!B:B,MATCH(注文書!$A90,W2Pデータ貼り付け!$AM:$AM,0)),"")),LEN(_xlfn.IFNA(INDEX(W2Pデータ貼り付け!B:B,MATCH(注文書!$A90,W2Pデータ貼り付け!$AM:$AM,0)),""))),"")</f>
        <v/>
      </c>
      <c r="C91" s="223"/>
      <c r="D91" s="18" t="str">
        <f>_xlfn.IFNA(INDEX(W2Pデータ貼り付け!N:N,MATCH(注文書!$A90,W2Pデータ貼り付け!$AM:$AM,0)),"")</f>
        <v/>
      </c>
      <c r="E91" s="18"/>
      <c r="F91" s="26" t="str">
        <f>_xlfn.IFNA(INDEX(W2Pデータ貼り付け!AK:AK,MATCH(注文書!$A90,W2Pデータ貼り付け!$AM:$AM,0)),"")</f>
        <v/>
      </c>
      <c r="G91" s="27"/>
      <c r="H91" s="27"/>
      <c r="I91" s="27"/>
    </row>
    <row r="92" spans="1:9" ht="14.25" customHeight="1" x14ac:dyDescent="0.25">
      <c r="A92" s="218"/>
      <c r="B92" s="36" t="str">
        <f ca="1">IF(B90&lt;&gt;"",TODAY(),"")</f>
        <v/>
      </c>
      <c r="C92" s="224"/>
      <c r="D92" s="19" t="str">
        <f>_xlfn.IFNA(INDEX(W2Pデータ貼り付け!O:O,MATCH(注文書!$A90,W2Pデータ貼り付け!$AM:$AM,0)),"")</f>
        <v/>
      </c>
      <c r="E92" s="19" t="str">
        <f>_xlfn.IFNA(INDEX(W2Pデータ貼り付け!U:U,MATCH(注文書!$A90,W2Pデータ貼り付け!$AM:$AM,0)),"")</f>
        <v/>
      </c>
      <c r="F92" s="28" t="str">
        <f>_xlfn.IFNA(INDEX(W2Pデータ貼り付け!AL:AL,MATCH(注文書!$A90,W2Pデータ貼り付け!$AM:$AM,0)),"")</f>
        <v/>
      </c>
      <c r="G92" s="29"/>
      <c r="H92" s="29"/>
      <c r="I92" s="29"/>
    </row>
    <row r="93" spans="1:9" ht="14.25" customHeight="1" x14ac:dyDescent="0.25">
      <c r="A93" s="216">
        <v>30</v>
      </c>
      <c r="B93" s="22" t="str">
        <f>IFERROR(LEFT(_xlfn.IFNA(INDEX(W2Pデータ貼り付け!B:B,MATCH(注文書!$A93,W2Pデータ貼り付け!$AM:$AM,0)),""),FIND("-",_xlfn.IFNA(INDEX(W2Pデータ貼り付け!B:B,MATCH(注文書!$A93,W2Pデータ貼り付け!$AM:$AM,0)),""))-1),_xlfn.IFNA(INDEX(W2Pデータ貼り付け!B:B,MATCH(注文書!$A93,W2Pデータ貼り付け!$AM:$AM,0)),""))</f>
        <v/>
      </c>
      <c r="C93" s="222" t="str">
        <f>_xlfn.IFNA(DATEVALUE(TEXT(INDEX(W2Pデータ貼り付け!AF:AF,MATCH(注文書!$A93,W2Pデータ貼り付け!$AM:$AM,0)),"0000!/00!/00")),"")</f>
        <v/>
      </c>
      <c r="D93" s="17" t="str">
        <f>_xlfn.IFNA(INDEX(W2Pデータ貼り付け!M:M,MATCH(注文書!$A93,W2Pデータ貼り付け!$AM:$AM,0)),"")</f>
        <v/>
      </c>
      <c r="E93" s="17" t="str">
        <f>_xlfn.IFNA(INDEX(W2Pデータ貼り付け!T:T,MATCH(注文書!$A93,W2Pデータ貼り付け!$AM:$AM,0)),"")</f>
        <v/>
      </c>
      <c r="F93" s="23" t="str" cm="1">
        <f t="array" ref="F93">_xlfn.IFNA(_xlfn.SINGLE(INDEX(CONCATENATE(W2Pデータ貼り付け!V:V,"部"),MATCH(注文書!$A93,W2Pデータ貼り付け!$AM:$AM,0))),"")</f>
        <v/>
      </c>
      <c r="G93" s="24"/>
      <c r="H93" s="24"/>
      <c r="I93" s="24"/>
    </row>
    <row r="94" spans="1:9" ht="14.25" customHeight="1" x14ac:dyDescent="0.25">
      <c r="A94" s="217"/>
      <c r="B94" s="25" t="str">
        <f>IFERROR(MID(_xlfn.IFNA(INDEX(W2Pデータ貼り付け!B:B,MATCH(注文書!$A93,W2Pデータ貼り付け!$AM:$AM,0)),""),FIND("-",_xlfn.IFNA(INDEX(W2Pデータ貼り付け!B:B,MATCH(注文書!$A93,W2Pデータ貼り付け!$AM:$AM,0)),"")),LEN(_xlfn.IFNA(INDEX(W2Pデータ貼り付け!B:B,MATCH(注文書!$A93,W2Pデータ貼り付け!$AM:$AM,0)),""))),"")</f>
        <v/>
      </c>
      <c r="C94" s="223"/>
      <c r="D94" s="18" t="str">
        <f>_xlfn.IFNA(INDEX(W2Pデータ貼り付け!N:N,MATCH(注文書!$A93,W2Pデータ貼り付け!$AM:$AM,0)),"")</f>
        <v/>
      </c>
      <c r="E94" s="18"/>
      <c r="F94" s="26" t="str">
        <f>_xlfn.IFNA(INDEX(W2Pデータ貼り付け!AK:AK,MATCH(注文書!$A93,W2Pデータ貼り付け!$AM:$AM,0)),"")</f>
        <v/>
      </c>
      <c r="G94" s="27"/>
      <c r="H94" s="27"/>
      <c r="I94" s="27"/>
    </row>
    <row r="95" spans="1:9" ht="14.25" customHeight="1" x14ac:dyDescent="0.25">
      <c r="A95" s="218"/>
      <c r="B95" s="36" t="str">
        <f ca="1">IF(B93&lt;&gt;"",TODAY(),"")</f>
        <v/>
      </c>
      <c r="C95" s="224"/>
      <c r="D95" s="19" t="str">
        <f>_xlfn.IFNA(INDEX(W2Pデータ貼り付け!O:O,MATCH(注文書!$A93,W2Pデータ貼り付け!$AM:$AM,0)),"")</f>
        <v/>
      </c>
      <c r="E95" s="19" t="str">
        <f>_xlfn.IFNA(INDEX(W2Pデータ貼り付け!U:U,MATCH(注文書!$A93,W2Pデータ貼り付け!$AM:$AM,0)),"")</f>
        <v/>
      </c>
      <c r="F95" s="28" t="str">
        <f>_xlfn.IFNA(INDEX(W2Pデータ貼り付け!AL:AL,MATCH(注文書!$A93,W2Pデータ貼り付け!$AM:$AM,0)),"")</f>
        <v/>
      </c>
      <c r="G95" s="29"/>
      <c r="H95" s="29"/>
      <c r="I95" s="29"/>
    </row>
    <row r="96" spans="1:9" ht="14.25" customHeight="1" x14ac:dyDescent="0.25">
      <c r="A96" s="216">
        <v>31</v>
      </c>
      <c r="B96" s="22" t="str">
        <f>IFERROR(LEFT(_xlfn.IFNA(INDEX(W2Pデータ貼り付け!B:B,MATCH(注文書!$A96,W2Pデータ貼り付け!$AM:$AM,0)),""),FIND("-",_xlfn.IFNA(INDEX(W2Pデータ貼り付け!B:B,MATCH(注文書!$A96,W2Pデータ貼り付け!$AM:$AM,0)),""))-1),_xlfn.IFNA(INDEX(W2Pデータ貼り付け!B:B,MATCH(注文書!$A96,W2Pデータ貼り付け!$AM:$AM,0)),""))</f>
        <v/>
      </c>
      <c r="C96" s="222" t="str">
        <f>_xlfn.IFNA(DATEVALUE(TEXT(INDEX(W2Pデータ貼り付け!AF:AF,MATCH(注文書!$A96,W2Pデータ貼り付け!$AM:$AM,0)),"0000!/00!/00")),"")</f>
        <v/>
      </c>
      <c r="D96" s="17" t="str">
        <f>_xlfn.IFNA(INDEX(W2Pデータ貼り付け!M:M,MATCH(注文書!$A96,W2Pデータ貼り付け!$AM:$AM,0)),"")</f>
        <v/>
      </c>
      <c r="E96" s="17" t="str">
        <f>_xlfn.IFNA(INDEX(W2Pデータ貼り付け!T:T,MATCH(注文書!$A96,W2Pデータ貼り付け!$AM:$AM,0)),"")</f>
        <v/>
      </c>
      <c r="F96" s="23" t="str" cm="1">
        <f t="array" ref="F96">_xlfn.IFNA(_xlfn.SINGLE(INDEX(CONCATENATE(W2Pデータ貼り付け!V:V,"部"),MATCH(注文書!$A96,W2Pデータ貼り付け!$AM:$AM,0))),"")</f>
        <v/>
      </c>
      <c r="G96" s="24"/>
      <c r="H96" s="24"/>
      <c r="I96" s="24"/>
    </row>
    <row r="97" spans="1:9" ht="14.25" customHeight="1" x14ac:dyDescent="0.25">
      <c r="A97" s="217"/>
      <c r="B97" s="25" t="str">
        <f>IFERROR(MID(_xlfn.IFNA(INDEX(W2Pデータ貼り付け!B:B,MATCH(注文書!$A96,W2Pデータ貼り付け!$AM:$AM,0)),""),FIND("-",_xlfn.IFNA(INDEX(W2Pデータ貼り付け!B:B,MATCH(注文書!$A96,W2Pデータ貼り付け!$AM:$AM,0)),"")),LEN(_xlfn.IFNA(INDEX(W2Pデータ貼り付け!B:B,MATCH(注文書!$A96,W2Pデータ貼り付け!$AM:$AM,0)),""))),"")</f>
        <v/>
      </c>
      <c r="C97" s="223"/>
      <c r="D97" s="18" t="str">
        <f>_xlfn.IFNA(INDEX(W2Pデータ貼り付け!N:N,MATCH(注文書!$A96,W2Pデータ貼り付け!$AM:$AM,0)),"")</f>
        <v/>
      </c>
      <c r="E97" s="18"/>
      <c r="F97" s="26" t="str">
        <f>_xlfn.IFNA(INDEX(W2Pデータ貼り付け!AK:AK,MATCH(注文書!$A96,W2Pデータ貼り付け!$AM:$AM,0)),"")</f>
        <v/>
      </c>
      <c r="G97" s="27"/>
      <c r="H97" s="27"/>
      <c r="I97" s="27"/>
    </row>
    <row r="98" spans="1:9" ht="14.25" customHeight="1" x14ac:dyDescent="0.25">
      <c r="A98" s="218"/>
      <c r="B98" s="36" t="str">
        <f ca="1">IF(B96&lt;&gt;"",TODAY(),"")</f>
        <v/>
      </c>
      <c r="C98" s="224"/>
      <c r="D98" s="19" t="str">
        <f>_xlfn.IFNA(INDEX(W2Pデータ貼り付け!O:O,MATCH(注文書!$A96,W2Pデータ貼り付け!$AM:$AM,0)),"")</f>
        <v/>
      </c>
      <c r="E98" s="19" t="str">
        <f>_xlfn.IFNA(INDEX(W2Pデータ貼り付け!U:U,MATCH(注文書!$A96,W2Pデータ貼り付け!$AM:$AM,0)),"")</f>
        <v/>
      </c>
      <c r="F98" s="28" t="str">
        <f>_xlfn.IFNA(INDEX(W2Pデータ貼り付け!AL:AL,MATCH(注文書!$A96,W2Pデータ貼り付け!$AM:$AM,0)),"")</f>
        <v/>
      </c>
      <c r="G98" s="29"/>
      <c r="H98" s="29"/>
      <c r="I98" s="29"/>
    </row>
    <row r="99" spans="1:9" ht="14.25" customHeight="1" x14ac:dyDescent="0.25">
      <c r="A99" s="216">
        <v>32</v>
      </c>
      <c r="B99" s="22" t="str">
        <f>IFERROR(LEFT(_xlfn.IFNA(INDEX(W2Pデータ貼り付け!B:B,MATCH(注文書!$A99,W2Pデータ貼り付け!$AM:$AM,0)),""),FIND("-",_xlfn.IFNA(INDEX(W2Pデータ貼り付け!B:B,MATCH(注文書!$A99,W2Pデータ貼り付け!$AM:$AM,0)),""))-1),_xlfn.IFNA(INDEX(W2Pデータ貼り付け!B:B,MATCH(注文書!$A99,W2Pデータ貼り付け!$AM:$AM,0)),""))</f>
        <v/>
      </c>
      <c r="C99" s="222" t="str">
        <f>_xlfn.IFNA(DATEVALUE(TEXT(INDEX(W2Pデータ貼り付け!AF:AF,MATCH(注文書!$A99,W2Pデータ貼り付け!$AM:$AM,0)),"0000!/00!/00")),"")</f>
        <v/>
      </c>
      <c r="D99" s="17" t="str">
        <f>_xlfn.IFNA(INDEX(W2Pデータ貼り付け!M:M,MATCH(注文書!$A99,W2Pデータ貼り付け!$AM:$AM,0)),"")</f>
        <v/>
      </c>
      <c r="E99" s="17" t="str">
        <f>_xlfn.IFNA(INDEX(W2Pデータ貼り付け!T:T,MATCH(注文書!$A99,W2Pデータ貼り付け!$AM:$AM,0)),"")</f>
        <v/>
      </c>
      <c r="F99" s="23" t="str" cm="1">
        <f t="array" ref="F99">_xlfn.IFNA(_xlfn.SINGLE(INDEX(CONCATENATE(W2Pデータ貼り付け!V:V,"部"),MATCH(注文書!$A99,W2Pデータ貼り付け!$AM:$AM,0))),"")</f>
        <v/>
      </c>
      <c r="G99" s="24"/>
      <c r="H99" s="24"/>
      <c r="I99" s="24"/>
    </row>
    <row r="100" spans="1:9" ht="14.25" customHeight="1" x14ac:dyDescent="0.25">
      <c r="A100" s="217"/>
      <c r="B100" s="25" t="str">
        <f>IFERROR(MID(_xlfn.IFNA(INDEX(W2Pデータ貼り付け!B:B,MATCH(注文書!$A99,W2Pデータ貼り付け!$AM:$AM,0)),""),FIND("-",_xlfn.IFNA(INDEX(W2Pデータ貼り付け!B:B,MATCH(注文書!$A99,W2Pデータ貼り付け!$AM:$AM,0)),"")),LEN(_xlfn.IFNA(INDEX(W2Pデータ貼り付け!B:B,MATCH(注文書!$A99,W2Pデータ貼り付け!$AM:$AM,0)),""))),"")</f>
        <v/>
      </c>
      <c r="C100" s="223"/>
      <c r="D100" s="18" t="str">
        <f>_xlfn.IFNA(INDEX(W2Pデータ貼り付け!N:N,MATCH(注文書!$A99,W2Pデータ貼り付け!$AM:$AM,0)),"")</f>
        <v/>
      </c>
      <c r="E100" s="18"/>
      <c r="F100" s="26" t="str">
        <f>_xlfn.IFNA(INDEX(W2Pデータ貼り付け!AK:AK,MATCH(注文書!$A99,W2Pデータ貼り付け!$AM:$AM,0)),"")</f>
        <v/>
      </c>
      <c r="G100" s="27"/>
      <c r="H100" s="27"/>
      <c r="I100" s="27"/>
    </row>
    <row r="101" spans="1:9" ht="14.25" customHeight="1" x14ac:dyDescent="0.25">
      <c r="A101" s="218"/>
      <c r="B101" s="36" t="str">
        <f ca="1">IF(B99&lt;&gt;"",TODAY(),"")</f>
        <v/>
      </c>
      <c r="C101" s="224"/>
      <c r="D101" s="19" t="str">
        <f>_xlfn.IFNA(INDEX(W2Pデータ貼り付け!O:O,MATCH(注文書!$A99,W2Pデータ貼り付け!$AM:$AM,0)),"")</f>
        <v/>
      </c>
      <c r="E101" s="19" t="str">
        <f>_xlfn.IFNA(INDEX(W2Pデータ貼り付け!U:U,MATCH(注文書!$A99,W2Pデータ貼り付け!$AM:$AM,0)),"")</f>
        <v/>
      </c>
      <c r="F101" s="28" t="str">
        <f>_xlfn.IFNA(INDEX(W2Pデータ貼り付け!AL:AL,MATCH(注文書!$A99,W2Pデータ貼り付け!$AM:$AM,0)),"")</f>
        <v/>
      </c>
      <c r="G101" s="29"/>
      <c r="H101" s="29"/>
      <c r="I101" s="29"/>
    </row>
    <row r="102" spans="1:9" ht="14.25" customHeight="1" x14ac:dyDescent="0.25">
      <c r="A102" s="216">
        <v>33</v>
      </c>
      <c r="B102" s="22" t="str">
        <f>IFERROR(LEFT(_xlfn.IFNA(INDEX(W2Pデータ貼り付け!B:B,MATCH(注文書!$A102,W2Pデータ貼り付け!$AM:$AM,0)),""),FIND("-",_xlfn.IFNA(INDEX(W2Pデータ貼り付け!B:B,MATCH(注文書!$A102,W2Pデータ貼り付け!$AM:$AM,0)),""))-1),_xlfn.IFNA(INDEX(W2Pデータ貼り付け!B:B,MATCH(注文書!$A102,W2Pデータ貼り付け!$AM:$AM,0)),""))</f>
        <v/>
      </c>
      <c r="C102" s="222" t="str">
        <f>_xlfn.IFNA(DATEVALUE(TEXT(INDEX(W2Pデータ貼り付け!AF:AF,MATCH(注文書!$A102,W2Pデータ貼り付け!$AM:$AM,0)),"0000!/00!/00")),"")</f>
        <v/>
      </c>
      <c r="D102" s="17" t="str">
        <f>_xlfn.IFNA(INDEX(W2Pデータ貼り付け!M:M,MATCH(注文書!$A102,W2Pデータ貼り付け!$AM:$AM,0)),"")</f>
        <v/>
      </c>
      <c r="E102" s="17" t="str">
        <f>_xlfn.IFNA(INDEX(W2Pデータ貼り付け!T:T,MATCH(注文書!$A102,W2Pデータ貼り付け!$AM:$AM,0)),"")</f>
        <v/>
      </c>
      <c r="F102" s="23" t="str" cm="1">
        <f t="array" ref="F102">_xlfn.IFNA(_xlfn.SINGLE(INDEX(CONCATENATE(W2Pデータ貼り付け!V:V,"部"),MATCH(注文書!$A102,W2Pデータ貼り付け!$AM:$AM,0))),"")</f>
        <v/>
      </c>
      <c r="G102" s="24"/>
      <c r="H102" s="24"/>
      <c r="I102" s="24"/>
    </row>
    <row r="103" spans="1:9" ht="14.25" customHeight="1" x14ac:dyDescent="0.25">
      <c r="A103" s="217"/>
      <c r="B103" s="25" t="str">
        <f>IFERROR(MID(_xlfn.IFNA(INDEX(W2Pデータ貼り付け!B:B,MATCH(注文書!$A102,W2Pデータ貼り付け!$AM:$AM,0)),""),FIND("-",_xlfn.IFNA(INDEX(W2Pデータ貼り付け!B:B,MATCH(注文書!$A102,W2Pデータ貼り付け!$AM:$AM,0)),"")),LEN(_xlfn.IFNA(INDEX(W2Pデータ貼り付け!B:B,MATCH(注文書!$A102,W2Pデータ貼り付け!$AM:$AM,0)),""))),"")</f>
        <v/>
      </c>
      <c r="C103" s="223"/>
      <c r="D103" s="18" t="str">
        <f>_xlfn.IFNA(INDEX(W2Pデータ貼り付け!N:N,MATCH(注文書!$A102,W2Pデータ貼り付け!$AM:$AM,0)),"")</f>
        <v/>
      </c>
      <c r="E103" s="18"/>
      <c r="F103" s="26" t="str">
        <f>_xlfn.IFNA(INDEX(W2Pデータ貼り付け!AK:AK,MATCH(注文書!$A102,W2Pデータ貼り付け!$AM:$AM,0)),"")</f>
        <v/>
      </c>
      <c r="G103" s="27"/>
      <c r="H103" s="27"/>
      <c r="I103" s="27"/>
    </row>
    <row r="104" spans="1:9" ht="14.25" customHeight="1" x14ac:dyDescent="0.25">
      <c r="A104" s="218"/>
      <c r="B104" s="36" t="str">
        <f ca="1">IF(B102&lt;&gt;"",TODAY(),"")</f>
        <v/>
      </c>
      <c r="C104" s="224"/>
      <c r="D104" s="19" t="str">
        <f>_xlfn.IFNA(INDEX(W2Pデータ貼り付け!O:O,MATCH(注文書!$A102,W2Pデータ貼り付け!$AM:$AM,0)),"")</f>
        <v/>
      </c>
      <c r="E104" s="19" t="str">
        <f>_xlfn.IFNA(INDEX(W2Pデータ貼り付け!U:U,MATCH(注文書!$A102,W2Pデータ貼り付け!$AM:$AM,0)),"")</f>
        <v/>
      </c>
      <c r="F104" s="28" t="str">
        <f>_xlfn.IFNA(INDEX(W2Pデータ貼り付け!AL:AL,MATCH(注文書!$A102,W2Pデータ貼り付け!$AM:$AM,0)),"")</f>
        <v/>
      </c>
      <c r="G104" s="29"/>
      <c r="H104" s="29"/>
      <c r="I104" s="29"/>
    </row>
    <row r="105" spans="1:9" ht="14.25" customHeight="1" x14ac:dyDescent="0.25">
      <c r="A105" s="216">
        <v>34</v>
      </c>
      <c r="B105" s="22" t="str">
        <f>IFERROR(LEFT(_xlfn.IFNA(INDEX(W2Pデータ貼り付け!B:B,MATCH(注文書!$A105,W2Pデータ貼り付け!$AM:$AM,0)),""),FIND("-",_xlfn.IFNA(INDEX(W2Pデータ貼り付け!B:B,MATCH(注文書!$A105,W2Pデータ貼り付け!$AM:$AM,0)),""))-1),_xlfn.IFNA(INDEX(W2Pデータ貼り付け!B:B,MATCH(注文書!$A105,W2Pデータ貼り付け!$AM:$AM,0)),""))</f>
        <v/>
      </c>
      <c r="C105" s="222" t="str">
        <f>_xlfn.IFNA(DATEVALUE(TEXT(INDEX(W2Pデータ貼り付け!AF:AF,MATCH(注文書!$A105,W2Pデータ貼り付け!$AM:$AM,0)),"0000!/00!/00")),"")</f>
        <v/>
      </c>
      <c r="D105" s="17" t="str">
        <f>_xlfn.IFNA(INDEX(W2Pデータ貼り付け!M:M,MATCH(注文書!$A105,W2Pデータ貼り付け!$AM:$AM,0)),"")</f>
        <v/>
      </c>
      <c r="E105" s="17" t="str">
        <f>_xlfn.IFNA(INDEX(W2Pデータ貼り付け!T:T,MATCH(注文書!$A105,W2Pデータ貼り付け!$AM:$AM,0)),"")</f>
        <v/>
      </c>
      <c r="F105" s="23" t="str" cm="1">
        <f t="array" ref="F105">_xlfn.IFNA(_xlfn.SINGLE(INDEX(CONCATENATE(W2Pデータ貼り付け!V:V,"部"),MATCH(注文書!$A105,W2Pデータ貼り付け!$AM:$AM,0))),"")</f>
        <v/>
      </c>
      <c r="G105" s="24"/>
      <c r="H105" s="24"/>
      <c r="I105" s="24"/>
    </row>
    <row r="106" spans="1:9" ht="14.25" customHeight="1" x14ac:dyDescent="0.25">
      <c r="A106" s="217"/>
      <c r="B106" s="25" t="str">
        <f>IFERROR(MID(_xlfn.IFNA(INDEX(W2Pデータ貼り付け!B:B,MATCH(注文書!$A105,W2Pデータ貼り付け!$AM:$AM,0)),""),FIND("-",_xlfn.IFNA(INDEX(W2Pデータ貼り付け!B:B,MATCH(注文書!$A105,W2Pデータ貼り付け!$AM:$AM,0)),"")),LEN(_xlfn.IFNA(INDEX(W2Pデータ貼り付け!B:B,MATCH(注文書!$A105,W2Pデータ貼り付け!$AM:$AM,0)),""))),"")</f>
        <v/>
      </c>
      <c r="C106" s="223"/>
      <c r="D106" s="18" t="str">
        <f>_xlfn.IFNA(INDEX(W2Pデータ貼り付け!N:N,MATCH(注文書!$A105,W2Pデータ貼り付け!$AM:$AM,0)),"")</f>
        <v/>
      </c>
      <c r="E106" s="18"/>
      <c r="F106" s="26" t="str">
        <f>_xlfn.IFNA(INDEX(W2Pデータ貼り付け!AK:AK,MATCH(注文書!$A105,W2Pデータ貼り付け!$AM:$AM,0)),"")</f>
        <v/>
      </c>
      <c r="G106" s="27"/>
      <c r="H106" s="27"/>
      <c r="I106" s="27"/>
    </row>
    <row r="107" spans="1:9" ht="14.25" customHeight="1" x14ac:dyDescent="0.25">
      <c r="A107" s="218"/>
      <c r="B107" s="36" t="str">
        <f ca="1">IF(B105&lt;&gt;"",TODAY(),"")</f>
        <v/>
      </c>
      <c r="C107" s="224"/>
      <c r="D107" s="19" t="str">
        <f>_xlfn.IFNA(INDEX(W2Pデータ貼り付け!O:O,MATCH(注文書!$A105,W2Pデータ貼り付け!$AM:$AM,0)),"")</f>
        <v/>
      </c>
      <c r="E107" s="19" t="str">
        <f>_xlfn.IFNA(INDEX(W2Pデータ貼り付け!U:U,MATCH(注文書!$A105,W2Pデータ貼り付け!$AM:$AM,0)),"")</f>
        <v/>
      </c>
      <c r="F107" s="28" t="str">
        <f>_xlfn.IFNA(INDEX(W2Pデータ貼り付け!AL:AL,MATCH(注文書!$A105,W2Pデータ貼り付け!$AM:$AM,0)),"")</f>
        <v/>
      </c>
      <c r="G107" s="29"/>
      <c r="H107" s="29"/>
      <c r="I107" s="29"/>
    </row>
    <row r="108" spans="1:9" ht="14.25" customHeight="1" x14ac:dyDescent="0.25">
      <c r="A108" s="216">
        <v>35</v>
      </c>
      <c r="B108" s="22" t="str">
        <f>IFERROR(LEFT(_xlfn.IFNA(INDEX(W2Pデータ貼り付け!B:B,MATCH(注文書!$A108,W2Pデータ貼り付け!$AM:$AM,0)),""),FIND("-",_xlfn.IFNA(INDEX(W2Pデータ貼り付け!B:B,MATCH(注文書!$A108,W2Pデータ貼り付け!$AM:$AM,0)),""))-1),_xlfn.IFNA(INDEX(W2Pデータ貼り付け!B:B,MATCH(注文書!$A108,W2Pデータ貼り付け!$AM:$AM,0)),""))</f>
        <v/>
      </c>
      <c r="C108" s="222" t="str">
        <f>_xlfn.IFNA(DATEVALUE(TEXT(INDEX(W2Pデータ貼り付け!AF:AF,MATCH(注文書!$A108,W2Pデータ貼り付け!$AM:$AM,0)),"0000!/00!/00")),"")</f>
        <v/>
      </c>
      <c r="D108" s="17" t="str">
        <f>_xlfn.IFNA(INDEX(W2Pデータ貼り付け!M:M,MATCH(注文書!$A108,W2Pデータ貼り付け!$AM:$AM,0)),"")</f>
        <v/>
      </c>
      <c r="E108" s="17" t="str">
        <f>_xlfn.IFNA(INDEX(W2Pデータ貼り付け!T:T,MATCH(注文書!$A108,W2Pデータ貼り付け!$AM:$AM,0)),"")</f>
        <v/>
      </c>
      <c r="F108" s="23" t="str" cm="1">
        <f t="array" ref="F108">_xlfn.IFNA(_xlfn.SINGLE(INDEX(CONCATENATE(W2Pデータ貼り付け!V:V,"部"),MATCH(注文書!$A108,W2Pデータ貼り付け!$AM:$AM,0))),"")</f>
        <v/>
      </c>
      <c r="G108" s="24"/>
      <c r="H108" s="24"/>
      <c r="I108" s="24"/>
    </row>
    <row r="109" spans="1:9" ht="14.25" customHeight="1" x14ac:dyDescent="0.25">
      <c r="A109" s="217"/>
      <c r="B109" s="25" t="str">
        <f>IFERROR(MID(_xlfn.IFNA(INDEX(W2Pデータ貼り付け!B:B,MATCH(注文書!$A108,W2Pデータ貼り付け!$AM:$AM,0)),""),FIND("-",_xlfn.IFNA(INDEX(W2Pデータ貼り付け!B:B,MATCH(注文書!$A108,W2Pデータ貼り付け!$AM:$AM,0)),"")),LEN(_xlfn.IFNA(INDEX(W2Pデータ貼り付け!B:B,MATCH(注文書!$A108,W2Pデータ貼り付け!$AM:$AM,0)),""))),"")</f>
        <v/>
      </c>
      <c r="C109" s="223"/>
      <c r="D109" s="18" t="str">
        <f>_xlfn.IFNA(INDEX(W2Pデータ貼り付け!N:N,MATCH(注文書!$A108,W2Pデータ貼り付け!$AM:$AM,0)),"")</f>
        <v/>
      </c>
      <c r="E109" s="18"/>
      <c r="F109" s="26" t="str">
        <f>_xlfn.IFNA(INDEX(W2Pデータ貼り付け!AK:AK,MATCH(注文書!$A108,W2Pデータ貼り付け!$AM:$AM,0)),"")</f>
        <v/>
      </c>
      <c r="G109" s="27"/>
      <c r="H109" s="27"/>
      <c r="I109" s="27"/>
    </row>
    <row r="110" spans="1:9" ht="14.25" customHeight="1" x14ac:dyDescent="0.25">
      <c r="A110" s="218"/>
      <c r="B110" s="36" t="str">
        <f ca="1">IF(B108&lt;&gt;"",TODAY(),"")</f>
        <v/>
      </c>
      <c r="C110" s="224"/>
      <c r="D110" s="19" t="str">
        <f>_xlfn.IFNA(INDEX(W2Pデータ貼り付け!O:O,MATCH(注文書!$A108,W2Pデータ貼り付け!$AM:$AM,0)),"")</f>
        <v/>
      </c>
      <c r="E110" s="19" t="str">
        <f>_xlfn.IFNA(INDEX(W2Pデータ貼り付け!U:U,MATCH(注文書!$A108,W2Pデータ貼り付け!$AM:$AM,0)),"")</f>
        <v/>
      </c>
      <c r="F110" s="28" t="str">
        <f>_xlfn.IFNA(INDEX(W2Pデータ貼り付け!AL:AL,MATCH(注文書!$A108,W2Pデータ貼り付け!$AM:$AM,0)),"")</f>
        <v/>
      </c>
      <c r="G110" s="29"/>
      <c r="H110" s="29"/>
      <c r="I110" s="29"/>
    </row>
    <row r="111" spans="1:9" ht="14.25" customHeight="1" x14ac:dyDescent="0.25">
      <c r="A111" s="216">
        <v>36</v>
      </c>
      <c r="B111" s="22" t="str">
        <f>IFERROR(LEFT(_xlfn.IFNA(INDEX(W2Pデータ貼り付け!B:B,MATCH(注文書!$A111,W2Pデータ貼り付け!$AM:$AM,0)),""),FIND("-",_xlfn.IFNA(INDEX(W2Pデータ貼り付け!B:B,MATCH(注文書!$A111,W2Pデータ貼り付け!$AM:$AM,0)),""))-1),_xlfn.IFNA(INDEX(W2Pデータ貼り付け!B:B,MATCH(注文書!$A111,W2Pデータ貼り付け!$AM:$AM,0)),""))</f>
        <v/>
      </c>
      <c r="C111" s="222" t="str">
        <f>_xlfn.IFNA(DATEVALUE(TEXT(INDEX(W2Pデータ貼り付け!AF:AF,MATCH(注文書!$A111,W2Pデータ貼り付け!$AM:$AM,0)),"0000!/00!/00")),"")</f>
        <v/>
      </c>
      <c r="D111" s="17" t="str">
        <f>_xlfn.IFNA(INDEX(W2Pデータ貼り付け!M:M,MATCH(注文書!$A111,W2Pデータ貼り付け!$AM:$AM,0)),"")</f>
        <v/>
      </c>
      <c r="E111" s="17" t="str">
        <f>_xlfn.IFNA(INDEX(W2Pデータ貼り付け!T:T,MATCH(注文書!$A111,W2Pデータ貼り付け!$AM:$AM,0)),"")</f>
        <v/>
      </c>
      <c r="F111" s="23" t="str" cm="1">
        <f t="array" ref="F111">_xlfn.IFNA(_xlfn.SINGLE(INDEX(CONCATENATE(W2Pデータ貼り付け!V:V,"部"),MATCH(注文書!$A111,W2Pデータ貼り付け!$AM:$AM,0))),"")</f>
        <v/>
      </c>
      <c r="G111" s="24"/>
      <c r="H111" s="24"/>
      <c r="I111" s="24"/>
    </row>
    <row r="112" spans="1:9" ht="14.25" customHeight="1" x14ac:dyDescent="0.25">
      <c r="A112" s="217"/>
      <c r="B112" s="25" t="str">
        <f>IFERROR(MID(_xlfn.IFNA(INDEX(W2Pデータ貼り付け!B:B,MATCH(注文書!$A111,W2Pデータ貼り付け!$AM:$AM,0)),""),FIND("-",_xlfn.IFNA(INDEX(W2Pデータ貼り付け!B:B,MATCH(注文書!$A111,W2Pデータ貼り付け!$AM:$AM,0)),"")),LEN(_xlfn.IFNA(INDEX(W2Pデータ貼り付け!B:B,MATCH(注文書!$A111,W2Pデータ貼り付け!$AM:$AM,0)),""))),"")</f>
        <v/>
      </c>
      <c r="C112" s="223"/>
      <c r="D112" s="18" t="str">
        <f>_xlfn.IFNA(INDEX(W2Pデータ貼り付け!N:N,MATCH(注文書!$A111,W2Pデータ貼り付け!$AM:$AM,0)),"")</f>
        <v/>
      </c>
      <c r="E112" s="18"/>
      <c r="F112" s="26" t="str">
        <f>_xlfn.IFNA(INDEX(W2Pデータ貼り付け!AK:AK,MATCH(注文書!$A111,W2Pデータ貼り付け!$AM:$AM,0)),"")</f>
        <v/>
      </c>
      <c r="G112" s="27"/>
      <c r="H112" s="27"/>
      <c r="I112" s="27"/>
    </row>
    <row r="113" spans="1:9" ht="14.25" customHeight="1" x14ac:dyDescent="0.25">
      <c r="A113" s="218"/>
      <c r="B113" s="36" t="str">
        <f ca="1">IF(B111&lt;&gt;"",TODAY(),"")</f>
        <v/>
      </c>
      <c r="C113" s="224"/>
      <c r="D113" s="19" t="str">
        <f>_xlfn.IFNA(INDEX(W2Pデータ貼り付け!O:O,MATCH(注文書!$A111,W2Pデータ貼り付け!$AM:$AM,0)),"")</f>
        <v/>
      </c>
      <c r="E113" s="19" t="str">
        <f>_xlfn.IFNA(INDEX(W2Pデータ貼り付け!U:U,MATCH(注文書!$A111,W2Pデータ貼り付け!$AM:$AM,0)),"")</f>
        <v/>
      </c>
      <c r="F113" s="28" t="str">
        <f>_xlfn.IFNA(INDEX(W2Pデータ貼り付け!AL:AL,MATCH(注文書!$A111,W2Pデータ貼り付け!$AM:$AM,0)),"")</f>
        <v/>
      </c>
      <c r="G113" s="29"/>
      <c r="H113" s="29"/>
      <c r="I113" s="29"/>
    </row>
    <row r="114" spans="1:9" ht="14.25" customHeight="1" x14ac:dyDescent="0.25">
      <c r="A114" s="216">
        <v>37</v>
      </c>
      <c r="B114" s="22" t="str">
        <f>IFERROR(LEFT(_xlfn.IFNA(INDEX(W2Pデータ貼り付け!B:B,MATCH(注文書!$A114,W2Pデータ貼り付け!$AM:$AM,0)),""),FIND("-",_xlfn.IFNA(INDEX(W2Pデータ貼り付け!B:B,MATCH(注文書!$A114,W2Pデータ貼り付け!$AM:$AM,0)),""))-1),_xlfn.IFNA(INDEX(W2Pデータ貼り付け!B:B,MATCH(注文書!$A114,W2Pデータ貼り付け!$AM:$AM,0)),""))</f>
        <v/>
      </c>
      <c r="C114" s="222" t="str">
        <f>_xlfn.IFNA(DATEVALUE(TEXT(INDEX(W2Pデータ貼り付け!AF:AF,MATCH(注文書!$A114,W2Pデータ貼り付け!$AM:$AM,0)),"0000!/00!/00")),"")</f>
        <v/>
      </c>
      <c r="D114" s="17" t="str">
        <f>_xlfn.IFNA(INDEX(W2Pデータ貼り付け!M:M,MATCH(注文書!$A114,W2Pデータ貼り付け!$AM:$AM,0)),"")</f>
        <v/>
      </c>
      <c r="E114" s="17" t="str">
        <f>_xlfn.IFNA(INDEX(W2Pデータ貼り付け!T:T,MATCH(注文書!$A114,W2Pデータ貼り付け!$AM:$AM,0)),"")</f>
        <v/>
      </c>
      <c r="F114" s="23" t="str" cm="1">
        <f t="array" ref="F114">_xlfn.IFNA(_xlfn.SINGLE(INDEX(CONCATENATE(W2Pデータ貼り付け!V:V,"部"),MATCH(注文書!$A114,W2Pデータ貼り付け!$AM:$AM,0))),"")</f>
        <v/>
      </c>
      <c r="G114" s="24"/>
      <c r="H114" s="24"/>
      <c r="I114" s="24"/>
    </row>
    <row r="115" spans="1:9" ht="14.25" customHeight="1" x14ac:dyDescent="0.25">
      <c r="A115" s="217"/>
      <c r="B115" s="25" t="str">
        <f>IFERROR(MID(_xlfn.IFNA(INDEX(W2Pデータ貼り付け!B:B,MATCH(注文書!$A114,W2Pデータ貼り付け!$AM:$AM,0)),""),FIND("-",_xlfn.IFNA(INDEX(W2Pデータ貼り付け!B:B,MATCH(注文書!$A114,W2Pデータ貼り付け!$AM:$AM,0)),"")),LEN(_xlfn.IFNA(INDEX(W2Pデータ貼り付け!B:B,MATCH(注文書!$A114,W2Pデータ貼り付け!$AM:$AM,0)),""))),"")</f>
        <v/>
      </c>
      <c r="C115" s="223"/>
      <c r="D115" s="18" t="str">
        <f>_xlfn.IFNA(INDEX(W2Pデータ貼り付け!N:N,MATCH(注文書!$A114,W2Pデータ貼り付け!$AM:$AM,0)),"")</f>
        <v/>
      </c>
      <c r="E115" s="18"/>
      <c r="F115" s="26" t="str">
        <f>_xlfn.IFNA(INDEX(W2Pデータ貼り付け!AK:AK,MATCH(注文書!$A114,W2Pデータ貼り付け!$AM:$AM,0)),"")</f>
        <v/>
      </c>
      <c r="G115" s="27"/>
      <c r="H115" s="27"/>
      <c r="I115" s="27"/>
    </row>
    <row r="116" spans="1:9" ht="14.25" customHeight="1" x14ac:dyDescent="0.25">
      <c r="A116" s="218"/>
      <c r="B116" s="36" t="str">
        <f ca="1">IF(B114&lt;&gt;"",TODAY(),"")</f>
        <v/>
      </c>
      <c r="C116" s="224"/>
      <c r="D116" s="19" t="str">
        <f>_xlfn.IFNA(INDEX(W2Pデータ貼り付け!O:O,MATCH(注文書!$A114,W2Pデータ貼り付け!$AM:$AM,0)),"")</f>
        <v/>
      </c>
      <c r="E116" s="19" t="str">
        <f>_xlfn.IFNA(INDEX(W2Pデータ貼り付け!U:U,MATCH(注文書!$A114,W2Pデータ貼り付け!$AM:$AM,0)),"")</f>
        <v/>
      </c>
      <c r="F116" s="28" t="str">
        <f>_xlfn.IFNA(INDEX(W2Pデータ貼り付け!AL:AL,MATCH(注文書!$A114,W2Pデータ貼り付け!$AM:$AM,0)),"")</f>
        <v/>
      </c>
      <c r="G116" s="29"/>
      <c r="H116" s="29"/>
      <c r="I116" s="29"/>
    </row>
    <row r="117" spans="1:9" ht="14.25" customHeight="1" x14ac:dyDescent="0.25">
      <c r="A117" s="216">
        <v>38</v>
      </c>
      <c r="B117" s="22" t="str">
        <f>IFERROR(LEFT(_xlfn.IFNA(INDEX(W2Pデータ貼り付け!B:B,MATCH(注文書!$A117,W2Pデータ貼り付け!$AM:$AM,0)),""),FIND("-",_xlfn.IFNA(INDEX(W2Pデータ貼り付け!B:B,MATCH(注文書!$A117,W2Pデータ貼り付け!$AM:$AM,0)),""))-1),_xlfn.IFNA(INDEX(W2Pデータ貼り付け!B:B,MATCH(注文書!$A117,W2Pデータ貼り付け!$AM:$AM,0)),""))</f>
        <v/>
      </c>
      <c r="C117" s="222" t="str">
        <f>_xlfn.IFNA(DATEVALUE(TEXT(INDEX(W2Pデータ貼り付け!AF:AF,MATCH(注文書!$A117,W2Pデータ貼り付け!$AM:$AM,0)),"0000!/00!/00")),"")</f>
        <v/>
      </c>
      <c r="D117" s="17" t="str">
        <f>_xlfn.IFNA(INDEX(W2Pデータ貼り付け!M:M,MATCH(注文書!$A117,W2Pデータ貼り付け!$AM:$AM,0)),"")</f>
        <v/>
      </c>
      <c r="E117" s="17" t="str">
        <f>_xlfn.IFNA(INDEX(W2Pデータ貼り付け!T:T,MATCH(注文書!$A117,W2Pデータ貼り付け!$AM:$AM,0)),"")</f>
        <v/>
      </c>
      <c r="F117" s="23" t="str" cm="1">
        <f t="array" ref="F117">_xlfn.IFNA(_xlfn.SINGLE(INDEX(CONCATENATE(W2Pデータ貼り付け!V:V,"部"),MATCH(注文書!$A117,W2Pデータ貼り付け!$AM:$AM,0))),"")</f>
        <v/>
      </c>
      <c r="G117" s="24"/>
      <c r="H117" s="24"/>
      <c r="I117" s="24"/>
    </row>
    <row r="118" spans="1:9" ht="14.25" customHeight="1" x14ac:dyDescent="0.25">
      <c r="A118" s="217"/>
      <c r="B118" s="25" t="str">
        <f>IFERROR(MID(_xlfn.IFNA(INDEX(W2Pデータ貼り付け!B:B,MATCH(注文書!$A117,W2Pデータ貼り付け!$AM:$AM,0)),""),FIND("-",_xlfn.IFNA(INDEX(W2Pデータ貼り付け!B:B,MATCH(注文書!$A117,W2Pデータ貼り付け!$AM:$AM,0)),"")),LEN(_xlfn.IFNA(INDEX(W2Pデータ貼り付け!B:B,MATCH(注文書!$A117,W2Pデータ貼り付け!$AM:$AM,0)),""))),"")</f>
        <v/>
      </c>
      <c r="C118" s="223"/>
      <c r="D118" s="18" t="str">
        <f>_xlfn.IFNA(INDEX(W2Pデータ貼り付け!N:N,MATCH(注文書!$A117,W2Pデータ貼り付け!$AM:$AM,0)),"")</f>
        <v/>
      </c>
      <c r="E118" s="18"/>
      <c r="F118" s="26" t="str">
        <f>_xlfn.IFNA(INDEX(W2Pデータ貼り付け!AK:AK,MATCH(注文書!$A117,W2Pデータ貼り付け!$AM:$AM,0)),"")</f>
        <v/>
      </c>
      <c r="G118" s="27"/>
      <c r="H118" s="27"/>
      <c r="I118" s="27"/>
    </row>
    <row r="119" spans="1:9" ht="14.25" customHeight="1" x14ac:dyDescent="0.25">
      <c r="A119" s="218"/>
      <c r="B119" s="36" t="str">
        <f ca="1">IF(B117&lt;&gt;"",TODAY(),"")</f>
        <v/>
      </c>
      <c r="C119" s="224"/>
      <c r="D119" s="19" t="str">
        <f>_xlfn.IFNA(INDEX(W2Pデータ貼り付け!O:O,MATCH(注文書!$A117,W2Pデータ貼り付け!$AM:$AM,0)),"")</f>
        <v/>
      </c>
      <c r="E119" s="19" t="str">
        <f>_xlfn.IFNA(INDEX(W2Pデータ貼り付け!U:U,MATCH(注文書!$A117,W2Pデータ貼り付け!$AM:$AM,0)),"")</f>
        <v/>
      </c>
      <c r="F119" s="28" t="str">
        <f>_xlfn.IFNA(INDEX(W2Pデータ貼り付け!AL:AL,MATCH(注文書!$A117,W2Pデータ貼り付け!$AM:$AM,0)),"")</f>
        <v/>
      </c>
      <c r="G119" s="29"/>
      <c r="H119" s="29"/>
      <c r="I119" s="29"/>
    </row>
    <row r="120" spans="1:9" ht="14.25" customHeight="1" x14ac:dyDescent="0.25">
      <c r="A120" s="216">
        <v>39</v>
      </c>
      <c r="B120" s="22" t="str">
        <f>IFERROR(LEFT(_xlfn.IFNA(INDEX(W2Pデータ貼り付け!B:B,MATCH(注文書!$A120,W2Pデータ貼り付け!$AM:$AM,0)),""),FIND("-",_xlfn.IFNA(INDEX(W2Pデータ貼り付け!B:B,MATCH(注文書!$A120,W2Pデータ貼り付け!$AM:$AM,0)),""))-1),_xlfn.IFNA(INDEX(W2Pデータ貼り付け!B:B,MATCH(注文書!$A120,W2Pデータ貼り付け!$AM:$AM,0)),""))</f>
        <v/>
      </c>
      <c r="C120" s="222" t="str">
        <f>_xlfn.IFNA(DATEVALUE(TEXT(INDEX(W2Pデータ貼り付け!AF:AF,MATCH(注文書!$A120,W2Pデータ貼り付け!$AM:$AM,0)),"0000!/00!/00")),"")</f>
        <v/>
      </c>
      <c r="D120" s="17" t="str">
        <f>_xlfn.IFNA(INDEX(W2Pデータ貼り付け!M:M,MATCH(注文書!$A120,W2Pデータ貼り付け!$AM:$AM,0)),"")</f>
        <v/>
      </c>
      <c r="E120" s="17" t="str">
        <f>_xlfn.IFNA(INDEX(W2Pデータ貼り付け!T:T,MATCH(注文書!$A120,W2Pデータ貼り付け!$AM:$AM,0)),"")</f>
        <v/>
      </c>
      <c r="F120" s="23" t="str" cm="1">
        <f t="array" ref="F120">_xlfn.IFNA(_xlfn.SINGLE(INDEX(CONCATENATE(W2Pデータ貼り付け!V:V,"部"),MATCH(注文書!$A120,W2Pデータ貼り付け!$AM:$AM,0))),"")</f>
        <v/>
      </c>
      <c r="G120" s="24"/>
      <c r="H120" s="24"/>
      <c r="I120" s="24"/>
    </row>
    <row r="121" spans="1:9" ht="14.25" customHeight="1" x14ac:dyDescent="0.25">
      <c r="A121" s="217"/>
      <c r="B121" s="25" t="str">
        <f>IFERROR(MID(_xlfn.IFNA(INDEX(W2Pデータ貼り付け!B:B,MATCH(注文書!$A120,W2Pデータ貼り付け!$AM:$AM,0)),""),FIND("-",_xlfn.IFNA(INDEX(W2Pデータ貼り付け!B:B,MATCH(注文書!$A120,W2Pデータ貼り付け!$AM:$AM,0)),"")),LEN(_xlfn.IFNA(INDEX(W2Pデータ貼り付け!B:B,MATCH(注文書!$A120,W2Pデータ貼り付け!$AM:$AM,0)),""))),"")</f>
        <v/>
      </c>
      <c r="C121" s="223"/>
      <c r="D121" s="18" t="str">
        <f>_xlfn.IFNA(INDEX(W2Pデータ貼り付け!N:N,MATCH(注文書!$A120,W2Pデータ貼り付け!$AM:$AM,0)),"")</f>
        <v/>
      </c>
      <c r="E121" s="18"/>
      <c r="F121" s="26" t="str">
        <f>_xlfn.IFNA(INDEX(W2Pデータ貼り付け!AK:AK,MATCH(注文書!$A120,W2Pデータ貼り付け!$AM:$AM,0)),"")</f>
        <v/>
      </c>
      <c r="G121" s="27"/>
      <c r="H121" s="27"/>
      <c r="I121" s="27"/>
    </row>
    <row r="122" spans="1:9" ht="14.25" customHeight="1" x14ac:dyDescent="0.25">
      <c r="A122" s="218"/>
      <c r="B122" s="36" t="str">
        <f ca="1">IF(B120&lt;&gt;"",TODAY(),"")</f>
        <v/>
      </c>
      <c r="C122" s="224"/>
      <c r="D122" s="19" t="str">
        <f>_xlfn.IFNA(INDEX(W2Pデータ貼り付け!O:O,MATCH(注文書!$A120,W2Pデータ貼り付け!$AM:$AM,0)),"")</f>
        <v/>
      </c>
      <c r="E122" s="19" t="str">
        <f>_xlfn.IFNA(INDEX(W2Pデータ貼り付け!U:U,MATCH(注文書!$A120,W2Pデータ貼り付け!$AM:$AM,0)),"")</f>
        <v/>
      </c>
      <c r="F122" s="28" t="str">
        <f>_xlfn.IFNA(INDEX(W2Pデータ貼り付け!AL:AL,MATCH(注文書!$A120,W2Pデータ貼り付け!$AM:$AM,0)),"")</f>
        <v/>
      </c>
      <c r="G122" s="29"/>
      <c r="H122" s="29"/>
      <c r="I122" s="29"/>
    </row>
    <row r="123" spans="1:9" ht="14.25" customHeight="1" x14ac:dyDescent="0.25">
      <c r="A123" s="216">
        <v>40</v>
      </c>
      <c r="B123" s="22" t="str">
        <f>IFERROR(LEFT(_xlfn.IFNA(INDEX(W2Pデータ貼り付け!B:B,MATCH(注文書!$A123,W2Pデータ貼り付け!$AM:$AM,0)),""),FIND("-",_xlfn.IFNA(INDEX(W2Pデータ貼り付け!B:B,MATCH(注文書!$A123,W2Pデータ貼り付け!$AM:$AM,0)),""))-1),_xlfn.IFNA(INDEX(W2Pデータ貼り付け!B:B,MATCH(注文書!$A123,W2Pデータ貼り付け!$AM:$AM,0)),""))</f>
        <v/>
      </c>
      <c r="C123" s="222" t="str">
        <f>_xlfn.IFNA(DATEVALUE(TEXT(INDEX(W2Pデータ貼り付け!AF:AF,MATCH(注文書!$A123,W2Pデータ貼り付け!$AM:$AM,0)),"0000!/00!/00")),"")</f>
        <v/>
      </c>
      <c r="D123" s="17" t="str">
        <f>_xlfn.IFNA(INDEX(W2Pデータ貼り付け!M:M,MATCH(注文書!$A123,W2Pデータ貼り付け!$AM:$AM,0)),"")</f>
        <v/>
      </c>
      <c r="E123" s="17" t="str">
        <f>_xlfn.IFNA(INDEX(W2Pデータ貼り付け!T:T,MATCH(注文書!$A123,W2Pデータ貼り付け!$AM:$AM,0)),"")</f>
        <v/>
      </c>
      <c r="F123" s="23" t="str" cm="1">
        <f t="array" ref="F123">_xlfn.IFNA(_xlfn.SINGLE(INDEX(CONCATENATE(W2Pデータ貼り付け!V:V,"部"),MATCH(注文書!$A123,W2Pデータ貼り付け!$AM:$AM,0))),"")</f>
        <v/>
      </c>
      <c r="G123" s="24"/>
      <c r="H123" s="24"/>
      <c r="I123" s="24"/>
    </row>
    <row r="124" spans="1:9" ht="14.25" customHeight="1" x14ac:dyDescent="0.25">
      <c r="A124" s="217"/>
      <c r="B124" s="25" t="str">
        <f>IFERROR(MID(_xlfn.IFNA(INDEX(W2Pデータ貼り付け!B:B,MATCH(注文書!$A123,W2Pデータ貼り付け!$AM:$AM,0)),""),FIND("-",_xlfn.IFNA(INDEX(W2Pデータ貼り付け!B:B,MATCH(注文書!$A123,W2Pデータ貼り付け!$AM:$AM,0)),"")),LEN(_xlfn.IFNA(INDEX(W2Pデータ貼り付け!B:B,MATCH(注文書!$A123,W2Pデータ貼り付け!$AM:$AM,0)),""))),"")</f>
        <v/>
      </c>
      <c r="C124" s="223"/>
      <c r="D124" s="18" t="str">
        <f>_xlfn.IFNA(INDEX(W2Pデータ貼り付け!N:N,MATCH(注文書!$A123,W2Pデータ貼り付け!$AM:$AM,0)),"")</f>
        <v/>
      </c>
      <c r="E124" s="18"/>
      <c r="F124" s="26" t="str">
        <f>_xlfn.IFNA(INDEX(W2Pデータ貼り付け!AK:AK,MATCH(注文書!$A123,W2Pデータ貼り付け!$AM:$AM,0)),"")</f>
        <v/>
      </c>
      <c r="G124" s="27"/>
      <c r="H124" s="27"/>
      <c r="I124" s="27"/>
    </row>
    <row r="125" spans="1:9" ht="14.25" customHeight="1" x14ac:dyDescent="0.25">
      <c r="A125" s="218"/>
      <c r="B125" s="36" t="str">
        <f ca="1">IF(B123&lt;&gt;"",TODAY(),"")</f>
        <v/>
      </c>
      <c r="C125" s="224"/>
      <c r="D125" s="19" t="str">
        <f>_xlfn.IFNA(INDEX(W2Pデータ貼り付け!O:O,MATCH(注文書!$A123,W2Pデータ貼り付け!$AM:$AM,0)),"")</f>
        <v/>
      </c>
      <c r="E125" s="19" t="str">
        <f>_xlfn.IFNA(INDEX(W2Pデータ貼り付け!U:U,MATCH(注文書!$A123,W2Pデータ貼り付け!$AM:$AM,0)),"")</f>
        <v/>
      </c>
      <c r="F125" s="28" t="str">
        <f>_xlfn.IFNA(INDEX(W2Pデータ貼り付け!AL:AL,MATCH(注文書!$A123,W2Pデータ貼り付け!$AM:$AM,0)),"")</f>
        <v/>
      </c>
      <c r="G125" s="29"/>
      <c r="H125" s="29"/>
      <c r="I125" s="29"/>
    </row>
    <row r="126" spans="1:9" ht="14.25" customHeight="1" x14ac:dyDescent="0.25">
      <c r="A126" s="216">
        <v>41</v>
      </c>
      <c r="B126" s="22" t="str">
        <f>IFERROR(LEFT(_xlfn.IFNA(INDEX(W2Pデータ貼り付け!B:B,MATCH(注文書!$A126,W2Pデータ貼り付け!$AM:$AM,0)),""),FIND("-",_xlfn.IFNA(INDEX(W2Pデータ貼り付け!B:B,MATCH(注文書!$A126,W2Pデータ貼り付け!$AM:$AM,0)),""))-1),_xlfn.IFNA(INDEX(W2Pデータ貼り付け!B:B,MATCH(注文書!$A126,W2Pデータ貼り付け!$AM:$AM,0)),""))</f>
        <v/>
      </c>
      <c r="C126" s="222" t="str">
        <f>_xlfn.IFNA(DATEVALUE(TEXT(INDEX(W2Pデータ貼り付け!AF:AF,MATCH(注文書!$A126,W2Pデータ貼り付け!$AM:$AM,0)),"0000!/00!/00")),"")</f>
        <v/>
      </c>
      <c r="D126" s="17" t="str">
        <f>_xlfn.IFNA(INDEX(W2Pデータ貼り付け!M:M,MATCH(注文書!$A126,W2Pデータ貼り付け!$AM:$AM,0)),"")</f>
        <v/>
      </c>
      <c r="E126" s="17" t="str">
        <f>_xlfn.IFNA(INDEX(W2Pデータ貼り付け!T:T,MATCH(注文書!$A126,W2Pデータ貼り付け!$AM:$AM,0)),"")</f>
        <v/>
      </c>
      <c r="F126" s="23" t="str" cm="1">
        <f t="array" ref="F126">_xlfn.IFNA(_xlfn.SINGLE(INDEX(CONCATENATE(W2Pデータ貼り付け!V:V,"部"),MATCH(注文書!$A126,W2Pデータ貼り付け!$AM:$AM,0))),"")</f>
        <v/>
      </c>
      <c r="G126" s="24"/>
      <c r="H126" s="24"/>
      <c r="I126" s="24"/>
    </row>
    <row r="127" spans="1:9" ht="14.25" customHeight="1" x14ac:dyDescent="0.25">
      <c r="A127" s="217"/>
      <c r="B127" s="25" t="str">
        <f>IFERROR(MID(_xlfn.IFNA(INDEX(W2Pデータ貼り付け!B:B,MATCH(注文書!$A126,W2Pデータ貼り付け!$AM:$AM,0)),""),FIND("-",_xlfn.IFNA(INDEX(W2Pデータ貼り付け!B:B,MATCH(注文書!$A126,W2Pデータ貼り付け!$AM:$AM,0)),"")),LEN(_xlfn.IFNA(INDEX(W2Pデータ貼り付け!B:B,MATCH(注文書!$A126,W2Pデータ貼り付け!$AM:$AM,0)),""))),"")</f>
        <v/>
      </c>
      <c r="C127" s="223"/>
      <c r="D127" s="18" t="str">
        <f>_xlfn.IFNA(INDEX(W2Pデータ貼り付け!N:N,MATCH(注文書!$A126,W2Pデータ貼り付け!$AM:$AM,0)),"")</f>
        <v/>
      </c>
      <c r="E127" s="18"/>
      <c r="F127" s="26" t="str">
        <f>_xlfn.IFNA(INDEX(W2Pデータ貼り付け!AK:AK,MATCH(注文書!$A126,W2Pデータ貼り付け!$AM:$AM,0)),"")</f>
        <v/>
      </c>
      <c r="G127" s="27"/>
      <c r="H127" s="27"/>
      <c r="I127" s="27"/>
    </row>
    <row r="128" spans="1:9" ht="14.25" customHeight="1" x14ac:dyDescent="0.25">
      <c r="A128" s="218"/>
      <c r="B128" s="36" t="str">
        <f ca="1">IF(B126&lt;&gt;"",TODAY(),"")</f>
        <v/>
      </c>
      <c r="C128" s="224"/>
      <c r="D128" s="19" t="str">
        <f>_xlfn.IFNA(INDEX(W2Pデータ貼り付け!O:O,MATCH(注文書!$A126,W2Pデータ貼り付け!$AM:$AM,0)),"")</f>
        <v/>
      </c>
      <c r="E128" s="19" t="str">
        <f>_xlfn.IFNA(INDEX(W2Pデータ貼り付け!U:U,MATCH(注文書!$A126,W2Pデータ貼り付け!$AM:$AM,0)),"")</f>
        <v/>
      </c>
      <c r="F128" s="28" t="str">
        <f>_xlfn.IFNA(INDEX(W2Pデータ貼り付け!AL:AL,MATCH(注文書!$A126,W2Pデータ貼り付け!$AM:$AM,0)),"")</f>
        <v/>
      </c>
      <c r="G128" s="29"/>
      <c r="H128" s="29"/>
      <c r="I128" s="29"/>
    </row>
    <row r="129" spans="1:9" ht="14.25" customHeight="1" x14ac:dyDescent="0.25">
      <c r="A129" s="216">
        <v>42</v>
      </c>
      <c r="B129" s="22" t="str">
        <f>IFERROR(LEFT(_xlfn.IFNA(INDEX(W2Pデータ貼り付け!B:B,MATCH(注文書!$A129,W2Pデータ貼り付け!$AM:$AM,0)),""),FIND("-",_xlfn.IFNA(INDEX(W2Pデータ貼り付け!B:B,MATCH(注文書!$A129,W2Pデータ貼り付け!$AM:$AM,0)),""))-1),_xlfn.IFNA(INDEX(W2Pデータ貼り付け!B:B,MATCH(注文書!$A129,W2Pデータ貼り付け!$AM:$AM,0)),""))</f>
        <v/>
      </c>
      <c r="C129" s="222" t="str">
        <f>_xlfn.IFNA(DATEVALUE(TEXT(INDEX(W2Pデータ貼り付け!AF:AF,MATCH(注文書!$A129,W2Pデータ貼り付け!$AM:$AM,0)),"0000!/00!/00")),"")</f>
        <v/>
      </c>
      <c r="D129" s="17" t="str">
        <f>_xlfn.IFNA(INDEX(W2Pデータ貼り付け!M:M,MATCH(注文書!$A129,W2Pデータ貼り付け!$AM:$AM,0)),"")</f>
        <v/>
      </c>
      <c r="E129" s="17" t="str">
        <f>_xlfn.IFNA(INDEX(W2Pデータ貼り付け!T:T,MATCH(注文書!$A129,W2Pデータ貼り付け!$AM:$AM,0)),"")</f>
        <v/>
      </c>
      <c r="F129" s="23" t="str" cm="1">
        <f t="array" ref="F129">_xlfn.IFNA(_xlfn.SINGLE(INDEX(CONCATENATE(W2Pデータ貼り付け!V:V,"部"),MATCH(注文書!$A129,W2Pデータ貼り付け!$AM:$AM,0))),"")</f>
        <v/>
      </c>
      <c r="G129" s="24"/>
      <c r="H129" s="24"/>
      <c r="I129" s="24"/>
    </row>
    <row r="130" spans="1:9" ht="14.25" customHeight="1" x14ac:dyDescent="0.25">
      <c r="A130" s="217"/>
      <c r="B130" s="25" t="str">
        <f>IFERROR(MID(_xlfn.IFNA(INDEX(W2Pデータ貼り付け!B:B,MATCH(注文書!$A129,W2Pデータ貼り付け!$AM:$AM,0)),""),FIND("-",_xlfn.IFNA(INDEX(W2Pデータ貼り付け!B:B,MATCH(注文書!$A129,W2Pデータ貼り付け!$AM:$AM,0)),"")),LEN(_xlfn.IFNA(INDEX(W2Pデータ貼り付け!B:B,MATCH(注文書!$A129,W2Pデータ貼り付け!$AM:$AM,0)),""))),"")</f>
        <v/>
      </c>
      <c r="C130" s="223"/>
      <c r="D130" s="18" t="str">
        <f>_xlfn.IFNA(INDEX(W2Pデータ貼り付け!N:N,MATCH(注文書!$A129,W2Pデータ貼り付け!$AM:$AM,0)),"")</f>
        <v/>
      </c>
      <c r="E130" s="18"/>
      <c r="F130" s="26" t="str">
        <f>_xlfn.IFNA(INDEX(W2Pデータ貼り付け!AK:AK,MATCH(注文書!$A129,W2Pデータ貼り付け!$AM:$AM,0)),"")</f>
        <v/>
      </c>
      <c r="G130" s="27"/>
      <c r="H130" s="27"/>
      <c r="I130" s="27"/>
    </row>
    <row r="131" spans="1:9" ht="14.25" customHeight="1" x14ac:dyDescent="0.25">
      <c r="A131" s="218"/>
      <c r="B131" s="36" t="str">
        <f ca="1">IF(B129&lt;&gt;"",TODAY(),"")</f>
        <v/>
      </c>
      <c r="C131" s="224"/>
      <c r="D131" s="19" t="str">
        <f>_xlfn.IFNA(INDEX(W2Pデータ貼り付け!O:O,MATCH(注文書!$A129,W2Pデータ貼り付け!$AM:$AM,0)),"")</f>
        <v/>
      </c>
      <c r="E131" s="19" t="str">
        <f>_xlfn.IFNA(INDEX(W2Pデータ貼り付け!U:U,MATCH(注文書!$A129,W2Pデータ貼り付け!$AM:$AM,0)),"")</f>
        <v/>
      </c>
      <c r="F131" s="28" t="str">
        <f>_xlfn.IFNA(INDEX(W2Pデータ貼り付け!AL:AL,MATCH(注文書!$A129,W2Pデータ貼り付け!$AM:$AM,0)),"")</f>
        <v/>
      </c>
      <c r="G131" s="29"/>
      <c r="H131" s="29"/>
      <c r="I131" s="29"/>
    </row>
    <row r="132" spans="1:9" ht="14.25" customHeight="1" x14ac:dyDescent="0.25">
      <c r="A132" s="216">
        <v>43</v>
      </c>
      <c r="B132" s="22" t="str">
        <f>IFERROR(LEFT(_xlfn.IFNA(INDEX(W2Pデータ貼り付け!B:B,MATCH(注文書!$A132,W2Pデータ貼り付け!$AM:$AM,0)),""),FIND("-",_xlfn.IFNA(INDEX(W2Pデータ貼り付け!B:B,MATCH(注文書!$A132,W2Pデータ貼り付け!$AM:$AM,0)),""))-1),_xlfn.IFNA(INDEX(W2Pデータ貼り付け!B:B,MATCH(注文書!$A132,W2Pデータ貼り付け!$AM:$AM,0)),""))</f>
        <v/>
      </c>
      <c r="C132" s="222" t="str">
        <f>_xlfn.IFNA(DATEVALUE(TEXT(INDEX(W2Pデータ貼り付け!AF:AF,MATCH(注文書!$A132,W2Pデータ貼り付け!$AM:$AM,0)),"0000!/00!/00")),"")</f>
        <v/>
      </c>
      <c r="D132" s="17" t="str">
        <f>_xlfn.IFNA(INDEX(W2Pデータ貼り付け!M:M,MATCH(注文書!$A132,W2Pデータ貼り付け!$AM:$AM,0)),"")</f>
        <v/>
      </c>
      <c r="E132" s="17" t="str">
        <f>_xlfn.IFNA(INDEX(W2Pデータ貼り付け!T:T,MATCH(注文書!$A132,W2Pデータ貼り付け!$AM:$AM,0)),"")</f>
        <v/>
      </c>
      <c r="F132" s="23" t="str" cm="1">
        <f t="array" ref="F132">_xlfn.IFNA(_xlfn.SINGLE(INDEX(CONCATENATE(W2Pデータ貼り付け!V:V,"部"),MATCH(注文書!$A132,W2Pデータ貼り付け!$AM:$AM,0))),"")</f>
        <v/>
      </c>
      <c r="G132" s="24"/>
      <c r="H132" s="24"/>
      <c r="I132" s="24"/>
    </row>
    <row r="133" spans="1:9" ht="14.25" customHeight="1" x14ac:dyDescent="0.25">
      <c r="A133" s="217"/>
      <c r="B133" s="25" t="str">
        <f>IFERROR(MID(_xlfn.IFNA(INDEX(W2Pデータ貼り付け!B:B,MATCH(注文書!$A132,W2Pデータ貼り付け!$AM:$AM,0)),""),FIND("-",_xlfn.IFNA(INDEX(W2Pデータ貼り付け!B:B,MATCH(注文書!$A132,W2Pデータ貼り付け!$AM:$AM,0)),"")),LEN(_xlfn.IFNA(INDEX(W2Pデータ貼り付け!B:B,MATCH(注文書!$A132,W2Pデータ貼り付け!$AM:$AM,0)),""))),"")</f>
        <v/>
      </c>
      <c r="C133" s="223"/>
      <c r="D133" s="18" t="str">
        <f>_xlfn.IFNA(INDEX(W2Pデータ貼り付け!N:N,MATCH(注文書!$A132,W2Pデータ貼り付け!$AM:$AM,0)),"")</f>
        <v/>
      </c>
      <c r="E133" s="18"/>
      <c r="F133" s="26" t="str">
        <f>_xlfn.IFNA(INDEX(W2Pデータ貼り付け!AK:AK,MATCH(注文書!$A132,W2Pデータ貼り付け!$AM:$AM,0)),"")</f>
        <v/>
      </c>
      <c r="G133" s="27"/>
      <c r="H133" s="27"/>
      <c r="I133" s="27"/>
    </row>
    <row r="134" spans="1:9" ht="14.25" customHeight="1" x14ac:dyDescent="0.25">
      <c r="A134" s="218"/>
      <c r="B134" s="36" t="str">
        <f ca="1">IF(B132&lt;&gt;"",TODAY(),"")</f>
        <v/>
      </c>
      <c r="C134" s="224"/>
      <c r="D134" s="19" t="str">
        <f>_xlfn.IFNA(INDEX(W2Pデータ貼り付け!O:O,MATCH(注文書!$A132,W2Pデータ貼り付け!$AM:$AM,0)),"")</f>
        <v/>
      </c>
      <c r="E134" s="19" t="str">
        <f>_xlfn.IFNA(INDEX(W2Pデータ貼り付け!U:U,MATCH(注文書!$A132,W2Pデータ貼り付け!$AM:$AM,0)),"")</f>
        <v/>
      </c>
      <c r="F134" s="28" t="str">
        <f>_xlfn.IFNA(INDEX(W2Pデータ貼り付け!AL:AL,MATCH(注文書!$A132,W2Pデータ貼り付け!$AM:$AM,0)),"")</f>
        <v/>
      </c>
      <c r="G134" s="29"/>
      <c r="H134" s="29"/>
      <c r="I134" s="29"/>
    </row>
    <row r="135" spans="1:9" ht="14.25" customHeight="1" x14ac:dyDescent="0.25">
      <c r="A135" s="216">
        <v>44</v>
      </c>
      <c r="B135" s="22" t="str">
        <f>IFERROR(LEFT(_xlfn.IFNA(INDEX(W2Pデータ貼り付け!B:B,MATCH(注文書!$A135,W2Pデータ貼り付け!$AM:$AM,0)),""),FIND("-",_xlfn.IFNA(INDEX(W2Pデータ貼り付け!B:B,MATCH(注文書!$A135,W2Pデータ貼り付け!$AM:$AM,0)),""))-1),_xlfn.IFNA(INDEX(W2Pデータ貼り付け!B:B,MATCH(注文書!$A135,W2Pデータ貼り付け!$AM:$AM,0)),""))</f>
        <v/>
      </c>
      <c r="C135" s="222" t="str">
        <f>_xlfn.IFNA(DATEVALUE(TEXT(INDEX(W2Pデータ貼り付け!AF:AF,MATCH(注文書!$A135,W2Pデータ貼り付け!$AM:$AM,0)),"0000!/00!/00")),"")</f>
        <v/>
      </c>
      <c r="D135" s="17" t="str">
        <f>_xlfn.IFNA(INDEX(W2Pデータ貼り付け!M:M,MATCH(注文書!$A135,W2Pデータ貼り付け!$AM:$AM,0)),"")</f>
        <v/>
      </c>
      <c r="E135" s="17" t="str">
        <f>_xlfn.IFNA(INDEX(W2Pデータ貼り付け!T:T,MATCH(注文書!$A135,W2Pデータ貼り付け!$AM:$AM,0)),"")</f>
        <v/>
      </c>
      <c r="F135" s="23" t="str" cm="1">
        <f t="array" ref="F135">_xlfn.IFNA(_xlfn.SINGLE(INDEX(CONCATENATE(W2Pデータ貼り付け!V:V,"部"),MATCH(注文書!$A135,W2Pデータ貼り付け!$AM:$AM,0))),"")</f>
        <v/>
      </c>
      <c r="G135" s="24"/>
      <c r="H135" s="24"/>
      <c r="I135" s="24"/>
    </row>
    <row r="136" spans="1:9" ht="14.25" customHeight="1" x14ac:dyDescent="0.25">
      <c r="A136" s="217"/>
      <c r="B136" s="25" t="str">
        <f>IFERROR(MID(_xlfn.IFNA(INDEX(W2Pデータ貼り付け!B:B,MATCH(注文書!$A135,W2Pデータ貼り付け!$AM:$AM,0)),""),FIND("-",_xlfn.IFNA(INDEX(W2Pデータ貼り付け!B:B,MATCH(注文書!$A135,W2Pデータ貼り付け!$AM:$AM,0)),"")),LEN(_xlfn.IFNA(INDEX(W2Pデータ貼り付け!B:B,MATCH(注文書!$A135,W2Pデータ貼り付け!$AM:$AM,0)),""))),"")</f>
        <v/>
      </c>
      <c r="C136" s="223"/>
      <c r="D136" s="18" t="str">
        <f>_xlfn.IFNA(INDEX(W2Pデータ貼り付け!N:N,MATCH(注文書!$A135,W2Pデータ貼り付け!$AM:$AM,0)),"")</f>
        <v/>
      </c>
      <c r="E136" s="18"/>
      <c r="F136" s="26" t="str">
        <f>_xlfn.IFNA(INDEX(W2Pデータ貼り付け!AK:AK,MATCH(注文書!$A135,W2Pデータ貼り付け!$AM:$AM,0)),"")</f>
        <v/>
      </c>
      <c r="G136" s="27"/>
      <c r="H136" s="27"/>
      <c r="I136" s="27"/>
    </row>
    <row r="137" spans="1:9" ht="14.25" customHeight="1" x14ac:dyDescent="0.25">
      <c r="A137" s="218"/>
      <c r="B137" s="36" t="str">
        <f ca="1">IF(B135&lt;&gt;"",TODAY(),"")</f>
        <v/>
      </c>
      <c r="C137" s="224"/>
      <c r="D137" s="19" t="str">
        <f>_xlfn.IFNA(INDEX(W2Pデータ貼り付け!O:O,MATCH(注文書!$A135,W2Pデータ貼り付け!$AM:$AM,0)),"")</f>
        <v/>
      </c>
      <c r="E137" s="19" t="str">
        <f>_xlfn.IFNA(INDEX(W2Pデータ貼り付け!U:U,MATCH(注文書!$A135,W2Pデータ貼り付け!$AM:$AM,0)),"")</f>
        <v/>
      </c>
      <c r="F137" s="28" t="str">
        <f>_xlfn.IFNA(INDEX(W2Pデータ貼り付け!AL:AL,MATCH(注文書!$A135,W2Pデータ貼り付け!$AM:$AM,0)),"")</f>
        <v/>
      </c>
      <c r="G137" s="29"/>
      <c r="H137" s="29"/>
      <c r="I137" s="29"/>
    </row>
    <row r="138" spans="1:9" ht="14.25" customHeight="1" x14ac:dyDescent="0.25">
      <c r="A138" s="216">
        <v>45</v>
      </c>
      <c r="B138" s="22" t="str">
        <f>IFERROR(LEFT(_xlfn.IFNA(INDEX(W2Pデータ貼り付け!B:B,MATCH(注文書!$A138,W2Pデータ貼り付け!$AM:$AM,0)),""),FIND("-",_xlfn.IFNA(INDEX(W2Pデータ貼り付け!B:B,MATCH(注文書!$A138,W2Pデータ貼り付け!$AM:$AM,0)),""))-1),_xlfn.IFNA(INDEX(W2Pデータ貼り付け!B:B,MATCH(注文書!$A138,W2Pデータ貼り付け!$AM:$AM,0)),""))</f>
        <v/>
      </c>
      <c r="C138" s="222" t="str">
        <f>_xlfn.IFNA(DATEVALUE(TEXT(INDEX(W2Pデータ貼り付け!AF:AF,MATCH(注文書!$A138,W2Pデータ貼り付け!$AM:$AM,0)),"0000!/00!/00")),"")</f>
        <v/>
      </c>
      <c r="D138" s="17" t="str">
        <f>_xlfn.IFNA(INDEX(W2Pデータ貼り付け!M:M,MATCH(注文書!$A138,W2Pデータ貼り付け!$AM:$AM,0)),"")</f>
        <v/>
      </c>
      <c r="E138" s="17" t="str">
        <f>_xlfn.IFNA(INDEX(W2Pデータ貼り付け!T:T,MATCH(注文書!$A138,W2Pデータ貼り付け!$AM:$AM,0)),"")</f>
        <v/>
      </c>
      <c r="F138" s="23" t="str" cm="1">
        <f t="array" ref="F138">_xlfn.IFNA(_xlfn.SINGLE(INDEX(CONCATENATE(W2Pデータ貼り付け!V:V,"部"),MATCH(注文書!$A138,W2Pデータ貼り付け!$AM:$AM,0))),"")</f>
        <v/>
      </c>
      <c r="G138" s="24"/>
      <c r="H138" s="24"/>
      <c r="I138" s="24"/>
    </row>
    <row r="139" spans="1:9" ht="14.25" customHeight="1" x14ac:dyDescent="0.25">
      <c r="A139" s="217"/>
      <c r="B139" s="25" t="str">
        <f>IFERROR(MID(_xlfn.IFNA(INDEX(W2Pデータ貼り付け!B:B,MATCH(注文書!$A138,W2Pデータ貼り付け!$AM:$AM,0)),""),FIND("-",_xlfn.IFNA(INDEX(W2Pデータ貼り付け!B:B,MATCH(注文書!$A138,W2Pデータ貼り付け!$AM:$AM,0)),"")),LEN(_xlfn.IFNA(INDEX(W2Pデータ貼り付け!B:B,MATCH(注文書!$A138,W2Pデータ貼り付け!$AM:$AM,0)),""))),"")</f>
        <v/>
      </c>
      <c r="C139" s="223"/>
      <c r="D139" s="18" t="str">
        <f>_xlfn.IFNA(INDEX(W2Pデータ貼り付け!N:N,MATCH(注文書!$A138,W2Pデータ貼り付け!$AM:$AM,0)),"")</f>
        <v/>
      </c>
      <c r="E139" s="18"/>
      <c r="F139" s="26" t="str">
        <f>_xlfn.IFNA(INDEX(W2Pデータ貼り付け!AK:AK,MATCH(注文書!$A138,W2Pデータ貼り付け!$AM:$AM,0)),"")</f>
        <v/>
      </c>
      <c r="G139" s="27"/>
      <c r="H139" s="27"/>
      <c r="I139" s="27"/>
    </row>
    <row r="140" spans="1:9" ht="14.25" customHeight="1" x14ac:dyDescent="0.25">
      <c r="A140" s="218"/>
      <c r="B140" s="36" t="str">
        <f ca="1">IF(B138&lt;&gt;"",TODAY(),"")</f>
        <v/>
      </c>
      <c r="C140" s="224"/>
      <c r="D140" s="19" t="str">
        <f>_xlfn.IFNA(INDEX(W2Pデータ貼り付け!O:O,MATCH(注文書!$A138,W2Pデータ貼り付け!$AM:$AM,0)),"")</f>
        <v/>
      </c>
      <c r="E140" s="19" t="str">
        <f>_xlfn.IFNA(INDEX(W2Pデータ貼り付け!U:U,MATCH(注文書!$A138,W2Pデータ貼り付け!$AM:$AM,0)),"")</f>
        <v/>
      </c>
      <c r="F140" s="28" t="str">
        <f>_xlfn.IFNA(INDEX(W2Pデータ貼り付け!AL:AL,MATCH(注文書!$A138,W2Pデータ貼り付け!$AM:$AM,0)),"")</f>
        <v/>
      </c>
      <c r="G140" s="29"/>
      <c r="H140" s="29"/>
      <c r="I140" s="29"/>
    </row>
    <row r="141" spans="1:9" ht="14.25" customHeight="1" x14ac:dyDescent="0.25">
      <c r="A141" s="216">
        <v>46</v>
      </c>
      <c r="B141" s="22" t="str">
        <f>IFERROR(LEFT(_xlfn.IFNA(INDEX(W2Pデータ貼り付け!B:B,MATCH(注文書!$A141,W2Pデータ貼り付け!$AM:$AM,0)),""),FIND("-",_xlfn.IFNA(INDEX(W2Pデータ貼り付け!B:B,MATCH(注文書!$A141,W2Pデータ貼り付け!$AM:$AM,0)),""))-1),_xlfn.IFNA(INDEX(W2Pデータ貼り付け!B:B,MATCH(注文書!$A141,W2Pデータ貼り付け!$AM:$AM,0)),""))</f>
        <v/>
      </c>
      <c r="C141" s="222" t="str">
        <f>_xlfn.IFNA(DATEVALUE(TEXT(INDEX(W2Pデータ貼り付け!AF:AF,MATCH(注文書!$A141,W2Pデータ貼り付け!$AM:$AM,0)),"0000!/00!/00")),"")</f>
        <v/>
      </c>
      <c r="D141" s="17" t="str">
        <f>_xlfn.IFNA(INDEX(W2Pデータ貼り付け!M:M,MATCH(注文書!$A141,W2Pデータ貼り付け!$AM:$AM,0)),"")</f>
        <v/>
      </c>
      <c r="E141" s="17" t="str">
        <f>_xlfn.IFNA(INDEX(W2Pデータ貼り付け!T:T,MATCH(注文書!$A141,W2Pデータ貼り付け!$AM:$AM,0)),"")</f>
        <v/>
      </c>
      <c r="F141" s="23" t="str" cm="1">
        <f t="array" ref="F141">_xlfn.IFNA(_xlfn.SINGLE(INDEX(CONCATENATE(W2Pデータ貼り付け!V:V,"部"),MATCH(注文書!$A141,W2Pデータ貼り付け!$AM:$AM,0))),"")</f>
        <v/>
      </c>
      <c r="G141" s="24"/>
      <c r="H141" s="24"/>
      <c r="I141" s="24"/>
    </row>
    <row r="142" spans="1:9" ht="14.25" customHeight="1" x14ac:dyDescent="0.25">
      <c r="A142" s="217"/>
      <c r="B142" s="25" t="str">
        <f>IFERROR(MID(_xlfn.IFNA(INDEX(W2Pデータ貼り付け!B:B,MATCH(注文書!$A141,W2Pデータ貼り付け!$AM:$AM,0)),""),FIND("-",_xlfn.IFNA(INDEX(W2Pデータ貼り付け!B:B,MATCH(注文書!$A141,W2Pデータ貼り付け!$AM:$AM,0)),"")),LEN(_xlfn.IFNA(INDEX(W2Pデータ貼り付け!B:B,MATCH(注文書!$A141,W2Pデータ貼り付け!$AM:$AM,0)),""))),"")</f>
        <v/>
      </c>
      <c r="C142" s="223"/>
      <c r="D142" s="18" t="str">
        <f>_xlfn.IFNA(INDEX(W2Pデータ貼り付け!N:N,MATCH(注文書!$A141,W2Pデータ貼り付け!$AM:$AM,0)),"")</f>
        <v/>
      </c>
      <c r="E142" s="18"/>
      <c r="F142" s="26" t="str">
        <f>_xlfn.IFNA(INDEX(W2Pデータ貼り付け!AK:AK,MATCH(注文書!$A141,W2Pデータ貼り付け!$AM:$AM,0)),"")</f>
        <v/>
      </c>
      <c r="G142" s="27"/>
      <c r="H142" s="27"/>
      <c r="I142" s="27"/>
    </row>
    <row r="143" spans="1:9" ht="14.25" customHeight="1" x14ac:dyDescent="0.25">
      <c r="A143" s="218"/>
      <c r="B143" s="36" t="str">
        <f ca="1">IF(B141&lt;&gt;"",TODAY(),"")</f>
        <v/>
      </c>
      <c r="C143" s="224"/>
      <c r="D143" s="19" t="str">
        <f>_xlfn.IFNA(INDEX(W2Pデータ貼り付け!O:O,MATCH(注文書!$A141,W2Pデータ貼り付け!$AM:$AM,0)),"")</f>
        <v/>
      </c>
      <c r="E143" s="19" t="str">
        <f>_xlfn.IFNA(INDEX(W2Pデータ貼り付け!U:U,MATCH(注文書!$A141,W2Pデータ貼り付け!$AM:$AM,0)),"")</f>
        <v/>
      </c>
      <c r="F143" s="28" t="str">
        <f>_xlfn.IFNA(INDEX(W2Pデータ貼り付け!AL:AL,MATCH(注文書!$A141,W2Pデータ貼り付け!$AM:$AM,0)),"")</f>
        <v/>
      </c>
      <c r="G143" s="29"/>
      <c r="H143" s="29"/>
      <c r="I143" s="29"/>
    </row>
    <row r="144" spans="1:9" ht="14.25" customHeight="1" x14ac:dyDescent="0.25">
      <c r="A144" s="216">
        <v>47</v>
      </c>
      <c r="B144" s="22" t="str">
        <f>IFERROR(LEFT(_xlfn.IFNA(INDEX(W2Pデータ貼り付け!B:B,MATCH(注文書!$A144,W2Pデータ貼り付け!$AM:$AM,0)),""),FIND("-",_xlfn.IFNA(INDEX(W2Pデータ貼り付け!B:B,MATCH(注文書!$A144,W2Pデータ貼り付け!$AM:$AM,0)),""))-1),_xlfn.IFNA(INDEX(W2Pデータ貼り付け!B:B,MATCH(注文書!$A144,W2Pデータ貼り付け!$AM:$AM,0)),""))</f>
        <v/>
      </c>
      <c r="C144" s="222" t="str">
        <f>_xlfn.IFNA(DATEVALUE(TEXT(INDEX(W2Pデータ貼り付け!AF:AF,MATCH(注文書!$A144,W2Pデータ貼り付け!$AM:$AM,0)),"0000!/00!/00")),"")</f>
        <v/>
      </c>
      <c r="D144" s="17" t="str">
        <f>_xlfn.IFNA(INDEX(W2Pデータ貼り付け!M:M,MATCH(注文書!$A144,W2Pデータ貼り付け!$AM:$AM,0)),"")</f>
        <v/>
      </c>
      <c r="E144" s="17" t="str">
        <f>_xlfn.IFNA(INDEX(W2Pデータ貼り付け!T:T,MATCH(注文書!$A144,W2Pデータ貼り付け!$AM:$AM,0)),"")</f>
        <v/>
      </c>
      <c r="F144" s="23" t="str" cm="1">
        <f t="array" ref="F144">_xlfn.IFNA(_xlfn.SINGLE(INDEX(CONCATENATE(W2Pデータ貼り付け!V:V,"部"),MATCH(注文書!$A144,W2Pデータ貼り付け!$AM:$AM,0))),"")</f>
        <v/>
      </c>
      <c r="G144" s="24"/>
      <c r="H144" s="24"/>
      <c r="I144" s="24"/>
    </row>
    <row r="145" spans="1:9" ht="14.25" customHeight="1" x14ac:dyDescent="0.25">
      <c r="A145" s="217"/>
      <c r="B145" s="25" t="str">
        <f>IFERROR(MID(_xlfn.IFNA(INDEX(W2Pデータ貼り付け!B:B,MATCH(注文書!$A144,W2Pデータ貼り付け!$AM:$AM,0)),""),FIND("-",_xlfn.IFNA(INDEX(W2Pデータ貼り付け!B:B,MATCH(注文書!$A144,W2Pデータ貼り付け!$AM:$AM,0)),"")),LEN(_xlfn.IFNA(INDEX(W2Pデータ貼り付け!B:B,MATCH(注文書!$A144,W2Pデータ貼り付け!$AM:$AM,0)),""))),"")</f>
        <v/>
      </c>
      <c r="C145" s="223"/>
      <c r="D145" s="18" t="str">
        <f>_xlfn.IFNA(INDEX(W2Pデータ貼り付け!N:N,MATCH(注文書!$A144,W2Pデータ貼り付け!$AM:$AM,0)),"")</f>
        <v/>
      </c>
      <c r="E145" s="18"/>
      <c r="F145" s="26" t="str">
        <f>_xlfn.IFNA(INDEX(W2Pデータ貼り付け!AK:AK,MATCH(注文書!$A144,W2Pデータ貼り付け!$AM:$AM,0)),"")</f>
        <v/>
      </c>
      <c r="G145" s="27"/>
      <c r="H145" s="27"/>
      <c r="I145" s="27"/>
    </row>
    <row r="146" spans="1:9" ht="14.25" customHeight="1" x14ac:dyDescent="0.25">
      <c r="A146" s="218"/>
      <c r="B146" s="36" t="str">
        <f ca="1">IF(B144&lt;&gt;"",TODAY(),"")</f>
        <v/>
      </c>
      <c r="C146" s="224"/>
      <c r="D146" s="19" t="str">
        <f>_xlfn.IFNA(INDEX(W2Pデータ貼り付け!O:O,MATCH(注文書!$A144,W2Pデータ貼り付け!$AM:$AM,0)),"")</f>
        <v/>
      </c>
      <c r="E146" s="19" t="str">
        <f>_xlfn.IFNA(INDEX(W2Pデータ貼り付け!U:U,MATCH(注文書!$A144,W2Pデータ貼り付け!$AM:$AM,0)),"")</f>
        <v/>
      </c>
      <c r="F146" s="28" t="str">
        <f>_xlfn.IFNA(INDEX(W2Pデータ貼り付け!AL:AL,MATCH(注文書!$A144,W2Pデータ貼り付け!$AM:$AM,0)),"")</f>
        <v/>
      </c>
      <c r="G146" s="29"/>
      <c r="H146" s="29"/>
      <c r="I146" s="29"/>
    </row>
    <row r="147" spans="1:9" ht="14.25" customHeight="1" x14ac:dyDescent="0.25">
      <c r="A147" s="216">
        <v>48</v>
      </c>
      <c r="B147" s="22" t="str">
        <f>IFERROR(LEFT(_xlfn.IFNA(INDEX(W2Pデータ貼り付け!B:B,MATCH(注文書!$A147,W2Pデータ貼り付け!$AM:$AM,0)),""),FIND("-",_xlfn.IFNA(INDEX(W2Pデータ貼り付け!B:B,MATCH(注文書!$A147,W2Pデータ貼り付け!$AM:$AM,0)),""))-1),_xlfn.IFNA(INDEX(W2Pデータ貼り付け!B:B,MATCH(注文書!$A147,W2Pデータ貼り付け!$AM:$AM,0)),""))</f>
        <v/>
      </c>
      <c r="C147" s="222" t="str">
        <f>_xlfn.IFNA(DATEVALUE(TEXT(INDEX(W2Pデータ貼り付け!AF:AF,MATCH(注文書!$A147,W2Pデータ貼り付け!$AM:$AM,0)),"0000!/00!/00")),"")</f>
        <v/>
      </c>
      <c r="D147" s="17" t="str">
        <f>_xlfn.IFNA(INDEX(W2Pデータ貼り付け!M:M,MATCH(注文書!$A147,W2Pデータ貼り付け!$AM:$AM,0)),"")</f>
        <v/>
      </c>
      <c r="E147" s="17" t="str">
        <f>_xlfn.IFNA(INDEX(W2Pデータ貼り付け!T:T,MATCH(注文書!$A147,W2Pデータ貼り付け!$AM:$AM,0)),"")</f>
        <v/>
      </c>
      <c r="F147" s="23" t="str" cm="1">
        <f t="array" ref="F147">_xlfn.IFNA(_xlfn.SINGLE(INDEX(CONCATENATE(W2Pデータ貼り付け!V:V,"部"),MATCH(注文書!$A147,W2Pデータ貼り付け!$AM:$AM,0))),"")</f>
        <v/>
      </c>
      <c r="G147" s="24"/>
      <c r="H147" s="24"/>
      <c r="I147" s="24"/>
    </row>
    <row r="148" spans="1:9" ht="14.25" customHeight="1" x14ac:dyDescent="0.25">
      <c r="A148" s="217"/>
      <c r="B148" s="25" t="str">
        <f>IFERROR(MID(_xlfn.IFNA(INDEX(W2Pデータ貼り付け!B:B,MATCH(注文書!$A147,W2Pデータ貼り付け!$AM:$AM,0)),""),FIND("-",_xlfn.IFNA(INDEX(W2Pデータ貼り付け!B:B,MATCH(注文書!$A147,W2Pデータ貼り付け!$AM:$AM,0)),"")),LEN(_xlfn.IFNA(INDEX(W2Pデータ貼り付け!B:B,MATCH(注文書!$A147,W2Pデータ貼り付け!$AM:$AM,0)),""))),"")</f>
        <v/>
      </c>
      <c r="C148" s="223"/>
      <c r="D148" s="18" t="str">
        <f>_xlfn.IFNA(INDEX(W2Pデータ貼り付け!N:N,MATCH(注文書!$A147,W2Pデータ貼り付け!$AM:$AM,0)),"")</f>
        <v/>
      </c>
      <c r="E148" s="18"/>
      <c r="F148" s="26" t="str">
        <f>_xlfn.IFNA(INDEX(W2Pデータ貼り付け!AK:AK,MATCH(注文書!$A147,W2Pデータ貼り付け!$AM:$AM,0)),"")</f>
        <v/>
      </c>
      <c r="G148" s="27"/>
      <c r="H148" s="27"/>
      <c r="I148" s="27"/>
    </row>
    <row r="149" spans="1:9" ht="14.25" customHeight="1" x14ac:dyDescent="0.25">
      <c r="A149" s="218"/>
      <c r="B149" s="36" t="str">
        <f ca="1">IF(B147&lt;&gt;"",TODAY(),"")</f>
        <v/>
      </c>
      <c r="C149" s="224"/>
      <c r="D149" s="19" t="str">
        <f>_xlfn.IFNA(INDEX(W2Pデータ貼り付け!O:O,MATCH(注文書!$A147,W2Pデータ貼り付け!$AM:$AM,0)),"")</f>
        <v/>
      </c>
      <c r="E149" s="19" t="str">
        <f>_xlfn.IFNA(INDEX(W2Pデータ貼り付け!U:U,MATCH(注文書!$A147,W2Pデータ貼り付け!$AM:$AM,0)),"")</f>
        <v/>
      </c>
      <c r="F149" s="28" t="str">
        <f>_xlfn.IFNA(INDEX(W2Pデータ貼り付け!AL:AL,MATCH(注文書!$A147,W2Pデータ貼り付け!$AM:$AM,0)),"")</f>
        <v/>
      </c>
      <c r="G149" s="29"/>
      <c r="H149" s="29"/>
      <c r="I149" s="29"/>
    </row>
    <row r="150" spans="1:9" ht="14.25" customHeight="1" x14ac:dyDescent="0.25">
      <c r="A150" s="216">
        <v>49</v>
      </c>
      <c r="B150" s="22" t="str">
        <f>IFERROR(LEFT(_xlfn.IFNA(INDEX(W2Pデータ貼り付け!B:B,MATCH(注文書!$A150,W2Pデータ貼り付け!$AM:$AM,0)),""),FIND("-",_xlfn.IFNA(INDEX(W2Pデータ貼り付け!B:B,MATCH(注文書!$A150,W2Pデータ貼り付け!$AM:$AM,0)),""))-1),_xlfn.IFNA(INDEX(W2Pデータ貼り付け!B:B,MATCH(注文書!$A150,W2Pデータ貼り付け!$AM:$AM,0)),""))</f>
        <v/>
      </c>
      <c r="C150" s="222" t="str">
        <f>_xlfn.IFNA(DATEVALUE(TEXT(INDEX(W2Pデータ貼り付け!AF:AF,MATCH(注文書!$A150,W2Pデータ貼り付け!$AM:$AM,0)),"0000!/00!/00")),"")</f>
        <v/>
      </c>
      <c r="D150" s="17" t="str">
        <f>_xlfn.IFNA(INDEX(W2Pデータ貼り付け!M:M,MATCH(注文書!$A150,W2Pデータ貼り付け!$AM:$AM,0)),"")</f>
        <v/>
      </c>
      <c r="E150" s="17" t="str">
        <f>_xlfn.IFNA(INDEX(W2Pデータ貼り付け!T:T,MATCH(注文書!$A150,W2Pデータ貼り付け!$AM:$AM,0)),"")</f>
        <v/>
      </c>
      <c r="F150" s="23" t="str" cm="1">
        <f t="array" ref="F150">_xlfn.IFNA(_xlfn.SINGLE(INDEX(CONCATENATE(W2Pデータ貼り付け!V:V,"部"),MATCH(注文書!$A150,W2Pデータ貼り付け!$AM:$AM,0))),"")</f>
        <v/>
      </c>
      <c r="G150" s="24"/>
      <c r="H150" s="24"/>
      <c r="I150" s="24"/>
    </row>
    <row r="151" spans="1:9" ht="14.25" customHeight="1" x14ac:dyDescent="0.25">
      <c r="A151" s="217"/>
      <c r="B151" s="25" t="str">
        <f>IFERROR(MID(_xlfn.IFNA(INDEX(W2Pデータ貼り付け!B:B,MATCH(注文書!$A150,W2Pデータ貼り付け!$AM:$AM,0)),""),FIND("-",_xlfn.IFNA(INDEX(W2Pデータ貼り付け!B:B,MATCH(注文書!$A150,W2Pデータ貼り付け!$AM:$AM,0)),"")),LEN(_xlfn.IFNA(INDEX(W2Pデータ貼り付け!B:B,MATCH(注文書!$A150,W2Pデータ貼り付け!$AM:$AM,0)),""))),"")</f>
        <v/>
      </c>
      <c r="C151" s="223"/>
      <c r="D151" s="18" t="str">
        <f>_xlfn.IFNA(INDEX(W2Pデータ貼り付け!N:N,MATCH(注文書!$A150,W2Pデータ貼り付け!$AM:$AM,0)),"")</f>
        <v/>
      </c>
      <c r="E151" s="18"/>
      <c r="F151" s="26" t="str">
        <f>_xlfn.IFNA(INDEX(W2Pデータ貼り付け!AK:AK,MATCH(注文書!$A150,W2Pデータ貼り付け!$AM:$AM,0)),"")</f>
        <v/>
      </c>
      <c r="G151" s="27"/>
      <c r="H151" s="27"/>
      <c r="I151" s="27"/>
    </row>
    <row r="152" spans="1:9" ht="14.25" customHeight="1" x14ac:dyDescent="0.25">
      <c r="A152" s="218"/>
      <c r="B152" s="36" t="str">
        <f ca="1">IF(B150&lt;&gt;"",TODAY(),"")</f>
        <v/>
      </c>
      <c r="C152" s="224"/>
      <c r="D152" s="19" t="str">
        <f>_xlfn.IFNA(INDEX(W2Pデータ貼り付け!O:O,MATCH(注文書!$A150,W2Pデータ貼り付け!$AM:$AM,0)),"")</f>
        <v/>
      </c>
      <c r="E152" s="19" t="str">
        <f>_xlfn.IFNA(INDEX(W2Pデータ貼り付け!U:U,MATCH(注文書!$A150,W2Pデータ貼り付け!$AM:$AM,0)),"")</f>
        <v/>
      </c>
      <c r="F152" s="28" t="str">
        <f>_xlfn.IFNA(INDEX(W2Pデータ貼り付け!AL:AL,MATCH(注文書!$A150,W2Pデータ貼り付け!$AM:$AM,0)),"")</f>
        <v/>
      </c>
      <c r="G152" s="29"/>
      <c r="H152" s="29"/>
      <c r="I152" s="29"/>
    </row>
    <row r="153" spans="1:9" ht="14.25" customHeight="1" x14ac:dyDescent="0.25">
      <c r="A153" s="216">
        <v>50</v>
      </c>
      <c r="B153" s="22" t="str">
        <f>IFERROR(LEFT(_xlfn.IFNA(INDEX(W2Pデータ貼り付け!B:B,MATCH(注文書!$A153,W2Pデータ貼り付け!$AM:$AM,0)),""),FIND("-",_xlfn.IFNA(INDEX(W2Pデータ貼り付け!B:B,MATCH(注文書!$A153,W2Pデータ貼り付け!$AM:$AM,0)),""))-1),_xlfn.IFNA(INDEX(W2Pデータ貼り付け!B:B,MATCH(注文書!$A153,W2Pデータ貼り付け!$AM:$AM,0)),""))</f>
        <v/>
      </c>
      <c r="C153" s="222" t="str">
        <f>_xlfn.IFNA(DATEVALUE(TEXT(INDEX(W2Pデータ貼り付け!AF:AF,MATCH(注文書!$A153,W2Pデータ貼り付け!$AM:$AM,0)),"0000!/00!/00")),"")</f>
        <v/>
      </c>
      <c r="D153" s="17" t="str">
        <f>_xlfn.IFNA(INDEX(W2Pデータ貼り付け!M:M,MATCH(注文書!$A153,W2Pデータ貼り付け!$AM:$AM,0)),"")</f>
        <v/>
      </c>
      <c r="E153" s="17" t="str">
        <f>_xlfn.IFNA(INDEX(W2Pデータ貼り付け!T:T,MATCH(注文書!$A153,W2Pデータ貼り付け!$AM:$AM,0)),"")</f>
        <v/>
      </c>
      <c r="F153" s="23" t="str" cm="1">
        <f t="array" ref="F153">_xlfn.IFNA(_xlfn.SINGLE(INDEX(CONCATENATE(W2Pデータ貼り付け!V:V,"部"),MATCH(注文書!$A153,W2Pデータ貼り付け!$AM:$AM,0))),"")</f>
        <v/>
      </c>
      <c r="G153" s="24"/>
      <c r="H153" s="24"/>
      <c r="I153" s="24"/>
    </row>
    <row r="154" spans="1:9" ht="14.25" customHeight="1" x14ac:dyDescent="0.25">
      <c r="A154" s="217"/>
      <c r="B154" s="25" t="str">
        <f>IFERROR(MID(_xlfn.IFNA(INDEX(W2Pデータ貼り付け!B:B,MATCH(注文書!$A153,W2Pデータ貼り付け!$AM:$AM,0)),""),FIND("-",_xlfn.IFNA(INDEX(W2Pデータ貼り付け!B:B,MATCH(注文書!$A153,W2Pデータ貼り付け!$AM:$AM,0)),"")),LEN(_xlfn.IFNA(INDEX(W2Pデータ貼り付け!B:B,MATCH(注文書!$A153,W2Pデータ貼り付け!$AM:$AM,0)),""))),"")</f>
        <v/>
      </c>
      <c r="C154" s="223"/>
      <c r="D154" s="18" t="str">
        <f>_xlfn.IFNA(INDEX(W2Pデータ貼り付け!N:N,MATCH(注文書!$A153,W2Pデータ貼り付け!$AM:$AM,0)),"")</f>
        <v/>
      </c>
      <c r="E154" s="18"/>
      <c r="F154" s="26" t="str">
        <f>_xlfn.IFNA(INDEX(W2Pデータ貼り付け!AK:AK,MATCH(注文書!$A153,W2Pデータ貼り付け!$AM:$AM,0)),"")</f>
        <v/>
      </c>
      <c r="G154" s="27"/>
      <c r="H154" s="27"/>
      <c r="I154" s="27"/>
    </row>
    <row r="155" spans="1:9" ht="14.25" customHeight="1" x14ac:dyDescent="0.25">
      <c r="A155" s="218"/>
      <c r="B155" s="36" t="str">
        <f ca="1">IF(B153&lt;&gt;"",TODAY(),"")</f>
        <v/>
      </c>
      <c r="C155" s="224"/>
      <c r="D155" s="19" t="str">
        <f>_xlfn.IFNA(INDEX(W2Pデータ貼り付け!O:O,MATCH(注文書!$A153,W2Pデータ貼り付け!$AM:$AM,0)),"")</f>
        <v/>
      </c>
      <c r="E155" s="19" t="str">
        <f>_xlfn.IFNA(INDEX(W2Pデータ貼り付け!U:U,MATCH(注文書!$A153,W2Pデータ貼り付け!$AM:$AM,0)),"")</f>
        <v/>
      </c>
      <c r="F155" s="28" t="str">
        <f>_xlfn.IFNA(INDEX(W2Pデータ貼り付け!AL:AL,MATCH(注文書!$A153,W2Pデータ貼り付け!$AM:$AM,0)),"")</f>
        <v/>
      </c>
      <c r="G155" s="29"/>
      <c r="H155" s="29"/>
      <c r="I155" s="29"/>
    </row>
    <row r="156" spans="1:9" ht="14.25" customHeight="1" x14ac:dyDescent="0.25">
      <c r="A156" s="216">
        <v>51</v>
      </c>
      <c r="B156" s="22" t="str">
        <f>IFERROR(LEFT(_xlfn.IFNA(INDEX(W2Pデータ貼り付け!B:B,MATCH(注文書!$A156,W2Pデータ貼り付け!$AM:$AM,0)),""),FIND("-",_xlfn.IFNA(INDEX(W2Pデータ貼り付け!B:B,MATCH(注文書!$A156,W2Pデータ貼り付け!$AM:$AM,0)),""))-1),_xlfn.IFNA(INDEX(W2Pデータ貼り付け!B:B,MATCH(注文書!$A156,W2Pデータ貼り付け!$AM:$AM,0)),""))</f>
        <v/>
      </c>
      <c r="C156" s="222" t="str">
        <f>_xlfn.IFNA(DATEVALUE(TEXT(INDEX(W2Pデータ貼り付け!AF:AF,MATCH(注文書!$A156,W2Pデータ貼り付け!$AM:$AM,0)),"0000!/00!/00")),"")</f>
        <v/>
      </c>
      <c r="D156" s="17" t="str">
        <f>_xlfn.IFNA(INDEX(W2Pデータ貼り付け!M:M,MATCH(注文書!$A156,W2Pデータ貼り付け!$AM:$AM,0)),"")</f>
        <v/>
      </c>
      <c r="E156" s="17" t="str">
        <f>_xlfn.IFNA(INDEX(W2Pデータ貼り付け!T:T,MATCH(注文書!$A156,W2Pデータ貼り付け!$AM:$AM,0)),"")</f>
        <v/>
      </c>
      <c r="F156" s="23" t="str" cm="1">
        <f t="array" ref="F156">_xlfn.IFNA(_xlfn.SINGLE(INDEX(CONCATENATE(W2Pデータ貼り付け!V:V,"部"),MATCH(注文書!$A156,W2Pデータ貼り付け!$AM:$AM,0))),"")</f>
        <v/>
      </c>
      <c r="G156" s="24"/>
      <c r="H156" s="24"/>
      <c r="I156" s="24"/>
    </row>
    <row r="157" spans="1:9" ht="14.25" customHeight="1" x14ac:dyDescent="0.25">
      <c r="A157" s="217"/>
      <c r="B157" s="25" t="str">
        <f>IFERROR(MID(_xlfn.IFNA(INDEX(W2Pデータ貼り付け!B:B,MATCH(注文書!$A156,W2Pデータ貼り付け!$AM:$AM,0)),""),FIND("-",_xlfn.IFNA(INDEX(W2Pデータ貼り付け!B:B,MATCH(注文書!$A156,W2Pデータ貼り付け!$AM:$AM,0)),"")),LEN(_xlfn.IFNA(INDEX(W2Pデータ貼り付け!B:B,MATCH(注文書!$A156,W2Pデータ貼り付け!$AM:$AM,0)),""))),"")</f>
        <v/>
      </c>
      <c r="C157" s="223"/>
      <c r="D157" s="18" t="str">
        <f>_xlfn.IFNA(INDEX(W2Pデータ貼り付け!N:N,MATCH(注文書!$A156,W2Pデータ貼り付け!$AM:$AM,0)),"")</f>
        <v/>
      </c>
      <c r="E157" s="18"/>
      <c r="F157" s="26" t="str">
        <f>_xlfn.IFNA(INDEX(W2Pデータ貼り付け!AK:AK,MATCH(注文書!$A156,W2Pデータ貼り付け!$AM:$AM,0)),"")</f>
        <v/>
      </c>
      <c r="G157" s="27"/>
      <c r="H157" s="27"/>
      <c r="I157" s="27"/>
    </row>
    <row r="158" spans="1:9" ht="14.25" customHeight="1" x14ac:dyDescent="0.25">
      <c r="A158" s="218"/>
      <c r="B158" s="36" t="str">
        <f ca="1">IF(B156&lt;&gt;"",TODAY(),"")</f>
        <v/>
      </c>
      <c r="C158" s="224"/>
      <c r="D158" s="19" t="str">
        <f>_xlfn.IFNA(INDEX(W2Pデータ貼り付け!O:O,MATCH(注文書!$A156,W2Pデータ貼り付け!$AM:$AM,0)),"")</f>
        <v/>
      </c>
      <c r="E158" s="19" t="str">
        <f>_xlfn.IFNA(INDEX(W2Pデータ貼り付け!U:U,MATCH(注文書!$A156,W2Pデータ貼り付け!$AM:$AM,0)),"")</f>
        <v/>
      </c>
      <c r="F158" s="28" t="str">
        <f>_xlfn.IFNA(INDEX(W2Pデータ貼り付け!AL:AL,MATCH(注文書!$A156,W2Pデータ貼り付け!$AM:$AM,0)),"")</f>
        <v/>
      </c>
      <c r="G158" s="29"/>
      <c r="H158" s="29"/>
      <c r="I158" s="29"/>
    </row>
    <row r="159" spans="1:9" ht="14.25" customHeight="1" x14ac:dyDescent="0.25">
      <c r="A159" s="216">
        <v>52</v>
      </c>
      <c r="B159" s="22" t="str">
        <f>IFERROR(LEFT(_xlfn.IFNA(INDEX(W2Pデータ貼り付け!B:B,MATCH(注文書!$A159,W2Pデータ貼り付け!$AM:$AM,0)),""),FIND("-",_xlfn.IFNA(INDEX(W2Pデータ貼り付け!B:B,MATCH(注文書!$A159,W2Pデータ貼り付け!$AM:$AM,0)),""))-1),_xlfn.IFNA(INDEX(W2Pデータ貼り付け!B:B,MATCH(注文書!$A159,W2Pデータ貼り付け!$AM:$AM,0)),""))</f>
        <v/>
      </c>
      <c r="C159" s="222" t="str">
        <f>_xlfn.IFNA(DATEVALUE(TEXT(INDEX(W2Pデータ貼り付け!AF:AF,MATCH(注文書!$A159,W2Pデータ貼り付け!$AM:$AM,0)),"0000!/00!/00")),"")</f>
        <v/>
      </c>
      <c r="D159" s="17" t="str">
        <f>_xlfn.IFNA(INDEX(W2Pデータ貼り付け!M:M,MATCH(注文書!$A159,W2Pデータ貼り付け!$AM:$AM,0)),"")</f>
        <v/>
      </c>
      <c r="E159" s="17" t="str">
        <f>_xlfn.IFNA(INDEX(W2Pデータ貼り付け!T:T,MATCH(注文書!$A159,W2Pデータ貼り付け!$AM:$AM,0)),"")</f>
        <v/>
      </c>
      <c r="F159" s="23" t="str" cm="1">
        <f t="array" ref="F159">_xlfn.IFNA(_xlfn.SINGLE(INDEX(CONCATENATE(W2Pデータ貼り付け!V:V,"部"),MATCH(注文書!$A159,W2Pデータ貼り付け!$AM:$AM,0))),"")</f>
        <v/>
      </c>
      <c r="G159" s="24"/>
      <c r="H159" s="24"/>
      <c r="I159" s="24"/>
    </row>
    <row r="160" spans="1:9" ht="14.25" customHeight="1" x14ac:dyDescent="0.25">
      <c r="A160" s="217"/>
      <c r="B160" s="25" t="str">
        <f>IFERROR(MID(_xlfn.IFNA(INDEX(W2Pデータ貼り付け!B:B,MATCH(注文書!$A159,W2Pデータ貼り付け!$AM:$AM,0)),""),FIND("-",_xlfn.IFNA(INDEX(W2Pデータ貼り付け!B:B,MATCH(注文書!$A159,W2Pデータ貼り付け!$AM:$AM,0)),"")),LEN(_xlfn.IFNA(INDEX(W2Pデータ貼り付け!B:B,MATCH(注文書!$A159,W2Pデータ貼り付け!$AM:$AM,0)),""))),"")</f>
        <v/>
      </c>
      <c r="C160" s="223"/>
      <c r="D160" s="18" t="str">
        <f>_xlfn.IFNA(INDEX(W2Pデータ貼り付け!N:N,MATCH(注文書!$A159,W2Pデータ貼り付け!$AM:$AM,0)),"")</f>
        <v/>
      </c>
      <c r="E160" s="18"/>
      <c r="F160" s="26" t="str">
        <f>_xlfn.IFNA(INDEX(W2Pデータ貼り付け!AK:AK,MATCH(注文書!$A159,W2Pデータ貼り付け!$AM:$AM,0)),"")</f>
        <v/>
      </c>
      <c r="G160" s="27"/>
      <c r="H160" s="27"/>
      <c r="I160" s="27"/>
    </row>
    <row r="161" spans="1:9" ht="14.25" customHeight="1" x14ac:dyDescent="0.25">
      <c r="A161" s="218"/>
      <c r="B161" s="36" t="str">
        <f ca="1">IF(B159&lt;&gt;"",TODAY(),"")</f>
        <v/>
      </c>
      <c r="C161" s="224"/>
      <c r="D161" s="19" t="str">
        <f>_xlfn.IFNA(INDEX(W2Pデータ貼り付け!O:O,MATCH(注文書!$A159,W2Pデータ貼り付け!$AM:$AM,0)),"")</f>
        <v/>
      </c>
      <c r="E161" s="19" t="str">
        <f>_xlfn.IFNA(INDEX(W2Pデータ貼り付け!U:U,MATCH(注文書!$A159,W2Pデータ貼り付け!$AM:$AM,0)),"")</f>
        <v/>
      </c>
      <c r="F161" s="28" t="str">
        <f>_xlfn.IFNA(INDEX(W2Pデータ貼り付け!AL:AL,MATCH(注文書!$A159,W2Pデータ貼り付け!$AM:$AM,0)),"")</f>
        <v/>
      </c>
      <c r="G161" s="29"/>
      <c r="H161" s="29"/>
      <c r="I161" s="29"/>
    </row>
    <row r="162" spans="1:9" ht="14.25" customHeight="1" x14ac:dyDescent="0.25">
      <c r="A162" s="216">
        <v>53</v>
      </c>
      <c r="B162" s="22" t="str">
        <f>IFERROR(LEFT(_xlfn.IFNA(INDEX(W2Pデータ貼り付け!B:B,MATCH(注文書!$A162,W2Pデータ貼り付け!$AM:$AM,0)),""),FIND("-",_xlfn.IFNA(INDEX(W2Pデータ貼り付け!B:B,MATCH(注文書!$A162,W2Pデータ貼り付け!$AM:$AM,0)),""))-1),_xlfn.IFNA(INDEX(W2Pデータ貼り付け!B:B,MATCH(注文書!$A162,W2Pデータ貼り付け!$AM:$AM,0)),""))</f>
        <v/>
      </c>
      <c r="C162" s="222" t="str">
        <f>_xlfn.IFNA(DATEVALUE(TEXT(INDEX(W2Pデータ貼り付け!AF:AF,MATCH(注文書!$A162,W2Pデータ貼り付け!$AM:$AM,0)),"0000!/00!/00")),"")</f>
        <v/>
      </c>
      <c r="D162" s="17" t="str">
        <f>_xlfn.IFNA(INDEX(W2Pデータ貼り付け!M:M,MATCH(注文書!$A162,W2Pデータ貼り付け!$AM:$AM,0)),"")</f>
        <v/>
      </c>
      <c r="E162" s="17" t="str">
        <f>_xlfn.IFNA(INDEX(W2Pデータ貼り付け!T:T,MATCH(注文書!$A162,W2Pデータ貼り付け!$AM:$AM,0)),"")</f>
        <v/>
      </c>
      <c r="F162" s="23" t="str" cm="1">
        <f t="array" ref="F162">_xlfn.IFNA(_xlfn.SINGLE(INDEX(CONCATENATE(W2Pデータ貼り付け!V:V,"部"),MATCH(注文書!$A162,W2Pデータ貼り付け!$AM:$AM,0))),"")</f>
        <v/>
      </c>
      <c r="G162" s="24"/>
      <c r="H162" s="24"/>
      <c r="I162" s="24"/>
    </row>
    <row r="163" spans="1:9" ht="14.25" customHeight="1" x14ac:dyDescent="0.25">
      <c r="A163" s="217"/>
      <c r="B163" s="25" t="str">
        <f>IFERROR(MID(_xlfn.IFNA(INDEX(W2Pデータ貼り付け!B:B,MATCH(注文書!$A162,W2Pデータ貼り付け!$AM:$AM,0)),""),FIND("-",_xlfn.IFNA(INDEX(W2Pデータ貼り付け!B:B,MATCH(注文書!$A162,W2Pデータ貼り付け!$AM:$AM,0)),"")),LEN(_xlfn.IFNA(INDEX(W2Pデータ貼り付け!B:B,MATCH(注文書!$A162,W2Pデータ貼り付け!$AM:$AM,0)),""))),"")</f>
        <v/>
      </c>
      <c r="C163" s="223"/>
      <c r="D163" s="18" t="str">
        <f>_xlfn.IFNA(INDEX(W2Pデータ貼り付け!N:N,MATCH(注文書!$A162,W2Pデータ貼り付け!$AM:$AM,0)),"")</f>
        <v/>
      </c>
      <c r="E163" s="18"/>
      <c r="F163" s="26" t="str">
        <f>_xlfn.IFNA(INDEX(W2Pデータ貼り付け!AK:AK,MATCH(注文書!$A162,W2Pデータ貼り付け!$AM:$AM,0)),"")</f>
        <v/>
      </c>
      <c r="G163" s="27"/>
      <c r="H163" s="27"/>
      <c r="I163" s="27"/>
    </row>
    <row r="164" spans="1:9" ht="14.25" customHeight="1" x14ac:dyDescent="0.25">
      <c r="A164" s="218"/>
      <c r="B164" s="36" t="str">
        <f ca="1">IF(B162&lt;&gt;"",TODAY(),"")</f>
        <v/>
      </c>
      <c r="C164" s="224"/>
      <c r="D164" s="19" t="str">
        <f>_xlfn.IFNA(INDEX(W2Pデータ貼り付け!O:O,MATCH(注文書!$A162,W2Pデータ貼り付け!$AM:$AM,0)),"")</f>
        <v/>
      </c>
      <c r="E164" s="19" t="str">
        <f>_xlfn.IFNA(INDEX(W2Pデータ貼り付け!U:U,MATCH(注文書!$A162,W2Pデータ貼り付け!$AM:$AM,0)),"")</f>
        <v/>
      </c>
      <c r="F164" s="28" t="str">
        <f>_xlfn.IFNA(INDEX(W2Pデータ貼り付け!AL:AL,MATCH(注文書!$A162,W2Pデータ貼り付け!$AM:$AM,0)),"")</f>
        <v/>
      </c>
      <c r="G164" s="29"/>
      <c r="H164" s="29"/>
      <c r="I164" s="29"/>
    </row>
    <row r="165" spans="1:9" ht="14.25" customHeight="1" x14ac:dyDescent="0.25">
      <c r="A165" s="216">
        <v>54</v>
      </c>
      <c r="B165" s="22" t="str">
        <f>IFERROR(LEFT(_xlfn.IFNA(INDEX(W2Pデータ貼り付け!B:B,MATCH(注文書!$A165,W2Pデータ貼り付け!$AM:$AM,0)),""),FIND("-",_xlfn.IFNA(INDEX(W2Pデータ貼り付け!B:B,MATCH(注文書!$A165,W2Pデータ貼り付け!$AM:$AM,0)),""))-1),_xlfn.IFNA(INDEX(W2Pデータ貼り付け!B:B,MATCH(注文書!$A165,W2Pデータ貼り付け!$AM:$AM,0)),""))</f>
        <v/>
      </c>
      <c r="C165" s="222" t="str">
        <f>_xlfn.IFNA(DATEVALUE(TEXT(INDEX(W2Pデータ貼り付け!AF:AF,MATCH(注文書!$A165,W2Pデータ貼り付け!$AM:$AM,0)),"0000!/00!/00")),"")</f>
        <v/>
      </c>
      <c r="D165" s="17" t="str">
        <f>_xlfn.IFNA(INDEX(W2Pデータ貼り付け!M:M,MATCH(注文書!$A165,W2Pデータ貼り付け!$AM:$AM,0)),"")</f>
        <v/>
      </c>
      <c r="E165" s="17" t="str">
        <f>_xlfn.IFNA(INDEX(W2Pデータ貼り付け!T:T,MATCH(注文書!$A165,W2Pデータ貼り付け!$AM:$AM,0)),"")</f>
        <v/>
      </c>
      <c r="F165" s="23" t="str" cm="1">
        <f t="array" ref="F165">_xlfn.IFNA(_xlfn.SINGLE(INDEX(CONCATENATE(W2Pデータ貼り付け!V:V,"部"),MATCH(注文書!$A165,W2Pデータ貼り付け!$AM:$AM,0))),"")</f>
        <v/>
      </c>
      <c r="G165" s="24"/>
      <c r="H165" s="24"/>
      <c r="I165" s="24"/>
    </row>
    <row r="166" spans="1:9" ht="14.25" customHeight="1" x14ac:dyDescent="0.25">
      <c r="A166" s="217"/>
      <c r="B166" s="25" t="str">
        <f>IFERROR(MID(_xlfn.IFNA(INDEX(W2Pデータ貼り付け!B:B,MATCH(注文書!$A165,W2Pデータ貼り付け!$AM:$AM,0)),""),FIND("-",_xlfn.IFNA(INDEX(W2Pデータ貼り付け!B:B,MATCH(注文書!$A165,W2Pデータ貼り付け!$AM:$AM,0)),"")),LEN(_xlfn.IFNA(INDEX(W2Pデータ貼り付け!B:B,MATCH(注文書!$A165,W2Pデータ貼り付け!$AM:$AM,0)),""))),"")</f>
        <v/>
      </c>
      <c r="C166" s="223"/>
      <c r="D166" s="18" t="str">
        <f>_xlfn.IFNA(INDEX(W2Pデータ貼り付け!N:N,MATCH(注文書!$A165,W2Pデータ貼り付け!$AM:$AM,0)),"")</f>
        <v/>
      </c>
      <c r="E166" s="18"/>
      <c r="F166" s="26" t="str">
        <f>_xlfn.IFNA(INDEX(W2Pデータ貼り付け!AK:AK,MATCH(注文書!$A165,W2Pデータ貼り付け!$AM:$AM,0)),"")</f>
        <v/>
      </c>
      <c r="G166" s="27"/>
      <c r="H166" s="27"/>
      <c r="I166" s="27"/>
    </row>
    <row r="167" spans="1:9" ht="14.25" customHeight="1" x14ac:dyDescent="0.25">
      <c r="A167" s="218"/>
      <c r="B167" s="36" t="str">
        <f ca="1">IF(B165&lt;&gt;"",TODAY(),"")</f>
        <v/>
      </c>
      <c r="C167" s="224"/>
      <c r="D167" s="19" t="str">
        <f>_xlfn.IFNA(INDEX(W2Pデータ貼り付け!O:O,MATCH(注文書!$A165,W2Pデータ貼り付け!$AM:$AM,0)),"")</f>
        <v/>
      </c>
      <c r="E167" s="19" t="str">
        <f>_xlfn.IFNA(INDEX(W2Pデータ貼り付け!U:U,MATCH(注文書!$A165,W2Pデータ貼り付け!$AM:$AM,0)),"")</f>
        <v/>
      </c>
      <c r="F167" s="28" t="str">
        <f>_xlfn.IFNA(INDEX(W2Pデータ貼り付け!AL:AL,MATCH(注文書!$A165,W2Pデータ貼り付け!$AM:$AM,0)),"")</f>
        <v/>
      </c>
      <c r="G167" s="29"/>
      <c r="H167" s="29"/>
      <c r="I167" s="29"/>
    </row>
    <row r="168" spans="1:9" ht="14.25" customHeight="1" x14ac:dyDescent="0.25">
      <c r="A168" s="216">
        <v>55</v>
      </c>
      <c r="B168" s="22" t="str">
        <f>IFERROR(LEFT(_xlfn.IFNA(INDEX(W2Pデータ貼り付け!B:B,MATCH(注文書!$A168,W2Pデータ貼り付け!$AM:$AM,0)),""),FIND("-",_xlfn.IFNA(INDEX(W2Pデータ貼り付け!B:B,MATCH(注文書!$A168,W2Pデータ貼り付け!$AM:$AM,0)),""))-1),_xlfn.IFNA(INDEX(W2Pデータ貼り付け!B:B,MATCH(注文書!$A168,W2Pデータ貼り付け!$AM:$AM,0)),""))</f>
        <v/>
      </c>
      <c r="C168" s="222" t="str">
        <f>_xlfn.IFNA(DATEVALUE(TEXT(INDEX(W2Pデータ貼り付け!AF:AF,MATCH(注文書!$A168,W2Pデータ貼り付け!$AM:$AM,0)),"0000!/00!/00")),"")</f>
        <v/>
      </c>
      <c r="D168" s="17" t="str">
        <f>_xlfn.IFNA(INDEX(W2Pデータ貼り付け!M:M,MATCH(注文書!$A168,W2Pデータ貼り付け!$AM:$AM,0)),"")</f>
        <v/>
      </c>
      <c r="E168" s="17" t="str">
        <f>_xlfn.IFNA(INDEX(W2Pデータ貼り付け!T:T,MATCH(注文書!$A168,W2Pデータ貼り付け!$AM:$AM,0)),"")</f>
        <v/>
      </c>
      <c r="F168" s="23" t="str" cm="1">
        <f t="array" ref="F168">_xlfn.IFNA(_xlfn.SINGLE(INDEX(CONCATENATE(W2Pデータ貼り付け!V:V,"部"),MATCH(注文書!$A168,W2Pデータ貼り付け!$AM:$AM,0))),"")</f>
        <v/>
      </c>
      <c r="G168" s="24"/>
      <c r="H168" s="24"/>
      <c r="I168" s="24"/>
    </row>
    <row r="169" spans="1:9" ht="14.25" customHeight="1" x14ac:dyDescent="0.25">
      <c r="A169" s="217"/>
      <c r="B169" s="25" t="str">
        <f>IFERROR(MID(_xlfn.IFNA(INDEX(W2Pデータ貼り付け!B:B,MATCH(注文書!$A168,W2Pデータ貼り付け!$AM:$AM,0)),""),FIND("-",_xlfn.IFNA(INDEX(W2Pデータ貼り付け!B:B,MATCH(注文書!$A168,W2Pデータ貼り付け!$AM:$AM,0)),"")),LEN(_xlfn.IFNA(INDEX(W2Pデータ貼り付け!B:B,MATCH(注文書!$A168,W2Pデータ貼り付け!$AM:$AM,0)),""))),"")</f>
        <v/>
      </c>
      <c r="C169" s="223"/>
      <c r="D169" s="18" t="str">
        <f>_xlfn.IFNA(INDEX(W2Pデータ貼り付け!N:N,MATCH(注文書!$A168,W2Pデータ貼り付け!$AM:$AM,0)),"")</f>
        <v/>
      </c>
      <c r="E169" s="18"/>
      <c r="F169" s="26" t="str">
        <f>_xlfn.IFNA(INDEX(W2Pデータ貼り付け!AK:AK,MATCH(注文書!$A168,W2Pデータ貼り付け!$AM:$AM,0)),"")</f>
        <v/>
      </c>
      <c r="G169" s="27"/>
      <c r="H169" s="27"/>
      <c r="I169" s="27"/>
    </row>
    <row r="170" spans="1:9" ht="14.25" customHeight="1" x14ac:dyDescent="0.25">
      <c r="A170" s="218"/>
      <c r="B170" s="36" t="str">
        <f ca="1">IF(B168&lt;&gt;"",TODAY(),"")</f>
        <v/>
      </c>
      <c r="C170" s="224"/>
      <c r="D170" s="19" t="str">
        <f>_xlfn.IFNA(INDEX(W2Pデータ貼り付け!O:O,MATCH(注文書!$A168,W2Pデータ貼り付け!$AM:$AM,0)),"")</f>
        <v/>
      </c>
      <c r="E170" s="19" t="str">
        <f>_xlfn.IFNA(INDEX(W2Pデータ貼り付け!U:U,MATCH(注文書!$A168,W2Pデータ貼り付け!$AM:$AM,0)),"")</f>
        <v/>
      </c>
      <c r="F170" s="28" t="str">
        <f>_xlfn.IFNA(INDEX(W2Pデータ貼り付け!AL:AL,MATCH(注文書!$A168,W2Pデータ貼り付け!$AM:$AM,0)),"")</f>
        <v/>
      </c>
      <c r="G170" s="29"/>
      <c r="H170" s="29"/>
      <c r="I170" s="29"/>
    </row>
    <row r="171" spans="1:9" ht="14.25" customHeight="1" x14ac:dyDescent="0.25">
      <c r="A171" s="216">
        <v>56</v>
      </c>
      <c r="B171" s="22" t="str">
        <f>IFERROR(LEFT(_xlfn.IFNA(INDEX(W2Pデータ貼り付け!B:B,MATCH(注文書!$A171,W2Pデータ貼り付け!$AM:$AM,0)),""),FIND("-",_xlfn.IFNA(INDEX(W2Pデータ貼り付け!B:B,MATCH(注文書!$A171,W2Pデータ貼り付け!$AM:$AM,0)),""))-1),_xlfn.IFNA(INDEX(W2Pデータ貼り付け!B:B,MATCH(注文書!$A171,W2Pデータ貼り付け!$AM:$AM,0)),""))</f>
        <v/>
      </c>
      <c r="C171" s="222" t="str">
        <f>_xlfn.IFNA(DATEVALUE(TEXT(INDEX(W2Pデータ貼り付け!AF:AF,MATCH(注文書!$A171,W2Pデータ貼り付け!$AM:$AM,0)),"0000!/00!/00")),"")</f>
        <v/>
      </c>
      <c r="D171" s="17" t="str">
        <f>_xlfn.IFNA(INDEX(W2Pデータ貼り付け!M:M,MATCH(注文書!$A171,W2Pデータ貼り付け!$AM:$AM,0)),"")</f>
        <v/>
      </c>
      <c r="E171" s="17" t="str">
        <f>_xlfn.IFNA(INDEX(W2Pデータ貼り付け!T:T,MATCH(注文書!$A171,W2Pデータ貼り付け!$AM:$AM,0)),"")</f>
        <v/>
      </c>
      <c r="F171" s="23" t="str" cm="1">
        <f t="array" ref="F171">_xlfn.IFNA(_xlfn.SINGLE(INDEX(CONCATENATE(W2Pデータ貼り付け!V:V,"部"),MATCH(注文書!$A171,W2Pデータ貼り付け!$AM:$AM,0))),"")</f>
        <v/>
      </c>
      <c r="G171" s="24"/>
      <c r="H171" s="24"/>
      <c r="I171" s="24"/>
    </row>
    <row r="172" spans="1:9" ht="14.25" customHeight="1" x14ac:dyDescent="0.25">
      <c r="A172" s="217"/>
      <c r="B172" s="25" t="str">
        <f>IFERROR(MID(_xlfn.IFNA(INDEX(W2Pデータ貼り付け!B:B,MATCH(注文書!$A171,W2Pデータ貼り付け!$AM:$AM,0)),""),FIND("-",_xlfn.IFNA(INDEX(W2Pデータ貼り付け!B:B,MATCH(注文書!$A171,W2Pデータ貼り付け!$AM:$AM,0)),"")),LEN(_xlfn.IFNA(INDEX(W2Pデータ貼り付け!B:B,MATCH(注文書!$A171,W2Pデータ貼り付け!$AM:$AM,0)),""))),"")</f>
        <v/>
      </c>
      <c r="C172" s="223"/>
      <c r="D172" s="18" t="str">
        <f>_xlfn.IFNA(INDEX(W2Pデータ貼り付け!N:N,MATCH(注文書!$A171,W2Pデータ貼り付け!$AM:$AM,0)),"")</f>
        <v/>
      </c>
      <c r="E172" s="18"/>
      <c r="F172" s="26" t="str">
        <f>_xlfn.IFNA(INDEX(W2Pデータ貼り付け!AK:AK,MATCH(注文書!$A171,W2Pデータ貼り付け!$AM:$AM,0)),"")</f>
        <v/>
      </c>
      <c r="G172" s="27"/>
      <c r="H172" s="27"/>
      <c r="I172" s="27"/>
    </row>
    <row r="173" spans="1:9" ht="14.25" customHeight="1" x14ac:dyDescent="0.25">
      <c r="A173" s="218"/>
      <c r="B173" s="36" t="str">
        <f ca="1">IF(B171&lt;&gt;"",TODAY(),"")</f>
        <v/>
      </c>
      <c r="C173" s="224"/>
      <c r="D173" s="19" t="str">
        <f>_xlfn.IFNA(INDEX(W2Pデータ貼り付け!O:O,MATCH(注文書!$A171,W2Pデータ貼り付け!$AM:$AM,0)),"")</f>
        <v/>
      </c>
      <c r="E173" s="19" t="str">
        <f>_xlfn.IFNA(INDEX(W2Pデータ貼り付け!U:U,MATCH(注文書!$A171,W2Pデータ貼り付け!$AM:$AM,0)),"")</f>
        <v/>
      </c>
      <c r="F173" s="28" t="str">
        <f>_xlfn.IFNA(INDEX(W2Pデータ貼り付け!AL:AL,MATCH(注文書!$A171,W2Pデータ貼り付け!$AM:$AM,0)),"")</f>
        <v/>
      </c>
      <c r="G173" s="29"/>
      <c r="H173" s="29"/>
      <c r="I173" s="29"/>
    </row>
    <row r="174" spans="1:9" ht="14.25" customHeight="1" x14ac:dyDescent="0.25">
      <c r="A174" s="216">
        <v>57</v>
      </c>
      <c r="B174" s="22" t="str">
        <f>IFERROR(LEFT(_xlfn.IFNA(INDEX(W2Pデータ貼り付け!B:B,MATCH(注文書!$A174,W2Pデータ貼り付け!$AM:$AM,0)),""),FIND("-",_xlfn.IFNA(INDEX(W2Pデータ貼り付け!B:B,MATCH(注文書!$A174,W2Pデータ貼り付け!$AM:$AM,0)),""))-1),_xlfn.IFNA(INDEX(W2Pデータ貼り付け!B:B,MATCH(注文書!$A174,W2Pデータ貼り付け!$AM:$AM,0)),""))</f>
        <v/>
      </c>
      <c r="C174" s="222" t="str">
        <f>_xlfn.IFNA(DATEVALUE(TEXT(INDEX(W2Pデータ貼り付け!AF:AF,MATCH(注文書!$A174,W2Pデータ貼り付け!$AM:$AM,0)),"0000!/00!/00")),"")</f>
        <v/>
      </c>
      <c r="D174" s="17" t="str">
        <f>_xlfn.IFNA(INDEX(W2Pデータ貼り付け!M:M,MATCH(注文書!$A174,W2Pデータ貼り付け!$AM:$AM,0)),"")</f>
        <v/>
      </c>
      <c r="E174" s="17" t="str">
        <f>_xlfn.IFNA(INDEX(W2Pデータ貼り付け!T:T,MATCH(注文書!$A174,W2Pデータ貼り付け!$AM:$AM,0)),"")</f>
        <v/>
      </c>
      <c r="F174" s="23" t="str" cm="1">
        <f t="array" ref="F174">_xlfn.IFNA(_xlfn.SINGLE(INDEX(CONCATENATE(W2Pデータ貼り付け!V:V,"部"),MATCH(注文書!$A174,W2Pデータ貼り付け!$AM:$AM,0))),"")</f>
        <v/>
      </c>
      <c r="G174" s="24"/>
      <c r="H174" s="24"/>
      <c r="I174" s="24"/>
    </row>
    <row r="175" spans="1:9" ht="14.25" customHeight="1" x14ac:dyDescent="0.25">
      <c r="A175" s="217"/>
      <c r="B175" s="25" t="str">
        <f>IFERROR(MID(_xlfn.IFNA(INDEX(W2Pデータ貼り付け!B:B,MATCH(注文書!$A174,W2Pデータ貼り付け!$AM:$AM,0)),""),FIND("-",_xlfn.IFNA(INDEX(W2Pデータ貼り付け!B:B,MATCH(注文書!$A174,W2Pデータ貼り付け!$AM:$AM,0)),"")),LEN(_xlfn.IFNA(INDEX(W2Pデータ貼り付け!B:B,MATCH(注文書!$A174,W2Pデータ貼り付け!$AM:$AM,0)),""))),"")</f>
        <v/>
      </c>
      <c r="C175" s="223"/>
      <c r="D175" s="18" t="str">
        <f>_xlfn.IFNA(INDEX(W2Pデータ貼り付け!N:N,MATCH(注文書!$A174,W2Pデータ貼り付け!$AM:$AM,0)),"")</f>
        <v/>
      </c>
      <c r="E175" s="18"/>
      <c r="F175" s="26" t="str">
        <f>_xlfn.IFNA(INDEX(W2Pデータ貼り付け!AK:AK,MATCH(注文書!$A174,W2Pデータ貼り付け!$AM:$AM,0)),"")</f>
        <v/>
      </c>
      <c r="G175" s="27"/>
      <c r="H175" s="27"/>
      <c r="I175" s="27"/>
    </row>
    <row r="176" spans="1:9" ht="14.25" customHeight="1" x14ac:dyDescent="0.25">
      <c r="A176" s="218"/>
      <c r="B176" s="36" t="str">
        <f ca="1">IF(B174&lt;&gt;"",TODAY(),"")</f>
        <v/>
      </c>
      <c r="C176" s="224"/>
      <c r="D176" s="19" t="str">
        <f>_xlfn.IFNA(INDEX(W2Pデータ貼り付け!O:O,MATCH(注文書!$A174,W2Pデータ貼り付け!$AM:$AM,0)),"")</f>
        <v/>
      </c>
      <c r="E176" s="19" t="str">
        <f>_xlfn.IFNA(INDEX(W2Pデータ貼り付け!U:U,MATCH(注文書!$A174,W2Pデータ貼り付け!$AM:$AM,0)),"")</f>
        <v/>
      </c>
      <c r="F176" s="28" t="str">
        <f>_xlfn.IFNA(INDEX(W2Pデータ貼り付け!AL:AL,MATCH(注文書!$A174,W2Pデータ貼り付け!$AM:$AM,0)),"")</f>
        <v/>
      </c>
      <c r="G176" s="29"/>
      <c r="H176" s="29"/>
      <c r="I176" s="29"/>
    </row>
    <row r="177" spans="1:9" ht="14.25" customHeight="1" x14ac:dyDescent="0.25">
      <c r="A177" s="216">
        <v>58</v>
      </c>
      <c r="B177" s="22" t="str">
        <f>IFERROR(LEFT(_xlfn.IFNA(INDEX(W2Pデータ貼り付け!B:B,MATCH(注文書!$A177,W2Pデータ貼り付け!$AM:$AM,0)),""),FIND("-",_xlfn.IFNA(INDEX(W2Pデータ貼り付け!B:B,MATCH(注文書!$A177,W2Pデータ貼り付け!$AM:$AM,0)),""))-1),_xlfn.IFNA(INDEX(W2Pデータ貼り付け!B:B,MATCH(注文書!$A177,W2Pデータ貼り付け!$AM:$AM,0)),""))</f>
        <v/>
      </c>
      <c r="C177" s="222" t="str">
        <f>_xlfn.IFNA(DATEVALUE(TEXT(INDEX(W2Pデータ貼り付け!AF:AF,MATCH(注文書!$A177,W2Pデータ貼り付け!$AM:$AM,0)),"0000!/00!/00")),"")</f>
        <v/>
      </c>
      <c r="D177" s="17" t="str">
        <f>_xlfn.IFNA(INDEX(W2Pデータ貼り付け!M:M,MATCH(注文書!$A177,W2Pデータ貼り付け!$AM:$AM,0)),"")</f>
        <v/>
      </c>
      <c r="E177" s="17" t="str">
        <f>_xlfn.IFNA(INDEX(W2Pデータ貼り付け!T:T,MATCH(注文書!$A177,W2Pデータ貼り付け!$AM:$AM,0)),"")</f>
        <v/>
      </c>
      <c r="F177" s="23" t="str" cm="1">
        <f t="array" ref="F177">_xlfn.IFNA(_xlfn.SINGLE(INDEX(CONCATENATE(W2Pデータ貼り付け!V:V,"部"),MATCH(注文書!$A177,W2Pデータ貼り付け!$AM:$AM,0))),"")</f>
        <v/>
      </c>
      <c r="G177" s="24"/>
      <c r="H177" s="24"/>
      <c r="I177" s="24"/>
    </row>
    <row r="178" spans="1:9" ht="14.25" customHeight="1" x14ac:dyDescent="0.25">
      <c r="A178" s="217"/>
      <c r="B178" s="25" t="str">
        <f>IFERROR(MID(_xlfn.IFNA(INDEX(W2Pデータ貼り付け!B:B,MATCH(注文書!$A177,W2Pデータ貼り付け!$AM:$AM,0)),""),FIND("-",_xlfn.IFNA(INDEX(W2Pデータ貼り付け!B:B,MATCH(注文書!$A177,W2Pデータ貼り付け!$AM:$AM,0)),"")),LEN(_xlfn.IFNA(INDEX(W2Pデータ貼り付け!B:B,MATCH(注文書!$A177,W2Pデータ貼り付け!$AM:$AM,0)),""))),"")</f>
        <v/>
      </c>
      <c r="C178" s="223"/>
      <c r="D178" s="18" t="str">
        <f>_xlfn.IFNA(INDEX(W2Pデータ貼り付け!N:N,MATCH(注文書!$A177,W2Pデータ貼り付け!$AM:$AM,0)),"")</f>
        <v/>
      </c>
      <c r="E178" s="18"/>
      <c r="F178" s="26" t="str">
        <f>_xlfn.IFNA(INDEX(W2Pデータ貼り付け!AK:AK,MATCH(注文書!$A177,W2Pデータ貼り付け!$AM:$AM,0)),"")</f>
        <v/>
      </c>
      <c r="G178" s="27"/>
      <c r="H178" s="27"/>
      <c r="I178" s="27"/>
    </row>
    <row r="179" spans="1:9" ht="14.25" customHeight="1" x14ac:dyDescent="0.25">
      <c r="A179" s="218"/>
      <c r="B179" s="36" t="str">
        <f ca="1">IF(B177&lt;&gt;"",TODAY(),"")</f>
        <v/>
      </c>
      <c r="C179" s="224"/>
      <c r="D179" s="19" t="str">
        <f>_xlfn.IFNA(INDEX(W2Pデータ貼り付け!O:O,MATCH(注文書!$A177,W2Pデータ貼り付け!$AM:$AM,0)),"")</f>
        <v/>
      </c>
      <c r="E179" s="19" t="str">
        <f>_xlfn.IFNA(INDEX(W2Pデータ貼り付け!U:U,MATCH(注文書!$A177,W2Pデータ貼り付け!$AM:$AM,0)),"")</f>
        <v/>
      </c>
      <c r="F179" s="28" t="str">
        <f>_xlfn.IFNA(INDEX(W2Pデータ貼り付け!AL:AL,MATCH(注文書!$A177,W2Pデータ貼り付け!$AM:$AM,0)),"")</f>
        <v/>
      </c>
      <c r="G179" s="29"/>
      <c r="H179" s="29"/>
      <c r="I179" s="29"/>
    </row>
    <row r="180" spans="1:9" ht="14.25" customHeight="1" x14ac:dyDescent="0.25">
      <c r="A180" s="216">
        <v>59</v>
      </c>
      <c r="B180" s="22" t="str">
        <f>IFERROR(LEFT(_xlfn.IFNA(INDEX(W2Pデータ貼り付け!B:B,MATCH(注文書!$A180,W2Pデータ貼り付け!$AM:$AM,0)),""),FIND("-",_xlfn.IFNA(INDEX(W2Pデータ貼り付け!B:B,MATCH(注文書!$A180,W2Pデータ貼り付け!$AM:$AM,0)),""))-1),_xlfn.IFNA(INDEX(W2Pデータ貼り付け!B:B,MATCH(注文書!$A180,W2Pデータ貼り付け!$AM:$AM,0)),""))</f>
        <v/>
      </c>
      <c r="C180" s="222" t="str">
        <f>_xlfn.IFNA(DATEVALUE(TEXT(INDEX(W2Pデータ貼り付け!AF:AF,MATCH(注文書!$A180,W2Pデータ貼り付け!$AM:$AM,0)),"0000!/00!/00")),"")</f>
        <v/>
      </c>
      <c r="D180" s="17" t="str">
        <f>_xlfn.IFNA(INDEX(W2Pデータ貼り付け!M:M,MATCH(注文書!$A180,W2Pデータ貼り付け!$AM:$AM,0)),"")</f>
        <v/>
      </c>
      <c r="E180" s="17" t="str">
        <f>_xlfn.IFNA(INDEX(W2Pデータ貼り付け!T:T,MATCH(注文書!$A180,W2Pデータ貼り付け!$AM:$AM,0)),"")</f>
        <v/>
      </c>
      <c r="F180" s="23" t="str" cm="1">
        <f t="array" ref="F180">_xlfn.IFNA(_xlfn.SINGLE(INDEX(CONCATENATE(W2Pデータ貼り付け!V:V,"部"),MATCH(注文書!$A180,W2Pデータ貼り付け!$AM:$AM,0))),"")</f>
        <v/>
      </c>
      <c r="G180" s="24"/>
      <c r="H180" s="24"/>
      <c r="I180" s="24"/>
    </row>
    <row r="181" spans="1:9" ht="14.25" customHeight="1" x14ac:dyDescent="0.25">
      <c r="A181" s="217"/>
      <c r="B181" s="25" t="str">
        <f>IFERROR(MID(_xlfn.IFNA(INDEX(W2Pデータ貼り付け!B:B,MATCH(注文書!$A180,W2Pデータ貼り付け!$AM:$AM,0)),""),FIND("-",_xlfn.IFNA(INDEX(W2Pデータ貼り付け!B:B,MATCH(注文書!$A180,W2Pデータ貼り付け!$AM:$AM,0)),"")),LEN(_xlfn.IFNA(INDEX(W2Pデータ貼り付け!B:B,MATCH(注文書!$A180,W2Pデータ貼り付け!$AM:$AM,0)),""))),"")</f>
        <v/>
      </c>
      <c r="C181" s="223"/>
      <c r="D181" s="18" t="str">
        <f>_xlfn.IFNA(INDEX(W2Pデータ貼り付け!N:N,MATCH(注文書!$A180,W2Pデータ貼り付け!$AM:$AM,0)),"")</f>
        <v/>
      </c>
      <c r="E181" s="18"/>
      <c r="F181" s="26" t="str">
        <f>_xlfn.IFNA(INDEX(W2Pデータ貼り付け!AK:AK,MATCH(注文書!$A180,W2Pデータ貼り付け!$AM:$AM,0)),"")</f>
        <v/>
      </c>
      <c r="G181" s="27"/>
      <c r="H181" s="27"/>
      <c r="I181" s="27"/>
    </row>
    <row r="182" spans="1:9" ht="14.25" customHeight="1" x14ac:dyDescent="0.25">
      <c r="A182" s="218"/>
      <c r="B182" s="36" t="str">
        <f ca="1">IF(B180&lt;&gt;"",TODAY(),"")</f>
        <v/>
      </c>
      <c r="C182" s="224"/>
      <c r="D182" s="19" t="str">
        <f>_xlfn.IFNA(INDEX(W2Pデータ貼り付け!O:O,MATCH(注文書!$A180,W2Pデータ貼り付け!$AM:$AM,0)),"")</f>
        <v/>
      </c>
      <c r="E182" s="19" t="str">
        <f>_xlfn.IFNA(INDEX(W2Pデータ貼り付け!U:U,MATCH(注文書!$A180,W2Pデータ貼り付け!$AM:$AM,0)),"")</f>
        <v/>
      </c>
      <c r="F182" s="28" t="str">
        <f>_xlfn.IFNA(INDEX(W2Pデータ貼り付け!AL:AL,MATCH(注文書!$A180,W2Pデータ貼り付け!$AM:$AM,0)),"")</f>
        <v/>
      </c>
      <c r="G182" s="29"/>
      <c r="H182" s="29"/>
      <c r="I182" s="29"/>
    </row>
    <row r="183" spans="1:9" ht="14.25" customHeight="1" x14ac:dyDescent="0.25">
      <c r="A183" s="216">
        <v>60</v>
      </c>
      <c r="B183" s="22" t="str">
        <f>IFERROR(LEFT(_xlfn.IFNA(INDEX(W2Pデータ貼り付け!B:B,MATCH(注文書!$A183,W2Pデータ貼り付け!$AM:$AM,0)),""),FIND("-",_xlfn.IFNA(INDEX(W2Pデータ貼り付け!B:B,MATCH(注文書!$A183,W2Pデータ貼り付け!$AM:$AM,0)),""))-1),_xlfn.IFNA(INDEX(W2Pデータ貼り付け!B:B,MATCH(注文書!$A183,W2Pデータ貼り付け!$AM:$AM,0)),""))</f>
        <v/>
      </c>
      <c r="C183" s="222" t="str">
        <f>_xlfn.IFNA(DATEVALUE(TEXT(INDEX(W2Pデータ貼り付け!AF:AF,MATCH(注文書!$A183,W2Pデータ貼り付け!$AM:$AM,0)),"0000!/00!/00")),"")</f>
        <v/>
      </c>
      <c r="D183" s="17" t="str">
        <f>_xlfn.IFNA(INDEX(W2Pデータ貼り付け!M:M,MATCH(注文書!$A183,W2Pデータ貼り付け!$AM:$AM,0)),"")</f>
        <v/>
      </c>
      <c r="E183" s="17" t="str">
        <f>_xlfn.IFNA(INDEX(W2Pデータ貼り付け!T:T,MATCH(注文書!$A183,W2Pデータ貼り付け!$AM:$AM,0)),"")</f>
        <v/>
      </c>
      <c r="F183" s="23" t="str" cm="1">
        <f t="array" ref="F183">_xlfn.IFNA(_xlfn.SINGLE(INDEX(CONCATENATE(W2Pデータ貼り付け!V:V,"部"),MATCH(注文書!$A183,W2Pデータ貼り付け!$AM:$AM,0))),"")</f>
        <v/>
      </c>
      <c r="G183" s="24"/>
      <c r="H183" s="24"/>
      <c r="I183" s="24"/>
    </row>
    <row r="184" spans="1:9" ht="14.25" customHeight="1" x14ac:dyDescent="0.25">
      <c r="A184" s="217"/>
      <c r="B184" s="25" t="str">
        <f>IFERROR(MID(_xlfn.IFNA(INDEX(W2Pデータ貼り付け!B:B,MATCH(注文書!$A183,W2Pデータ貼り付け!$AM:$AM,0)),""),FIND("-",_xlfn.IFNA(INDEX(W2Pデータ貼り付け!B:B,MATCH(注文書!$A183,W2Pデータ貼り付け!$AM:$AM,0)),"")),LEN(_xlfn.IFNA(INDEX(W2Pデータ貼り付け!B:B,MATCH(注文書!$A183,W2Pデータ貼り付け!$AM:$AM,0)),""))),"")</f>
        <v/>
      </c>
      <c r="C184" s="223"/>
      <c r="D184" s="18" t="str">
        <f>_xlfn.IFNA(INDEX(W2Pデータ貼り付け!N:N,MATCH(注文書!$A183,W2Pデータ貼り付け!$AM:$AM,0)),"")</f>
        <v/>
      </c>
      <c r="E184" s="18"/>
      <c r="F184" s="26" t="str">
        <f>_xlfn.IFNA(INDEX(W2Pデータ貼り付け!AK:AK,MATCH(注文書!$A183,W2Pデータ貼り付け!$AM:$AM,0)),"")</f>
        <v/>
      </c>
      <c r="G184" s="27"/>
      <c r="H184" s="27"/>
      <c r="I184" s="27"/>
    </row>
    <row r="185" spans="1:9" ht="14.25" customHeight="1" x14ac:dyDescent="0.25">
      <c r="A185" s="218"/>
      <c r="B185" s="36" t="str">
        <f ca="1">IF(B183&lt;&gt;"",TODAY(),"")</f>
        <v/>
      </c>
      <c r="C185" s="224"/>
      <c r="D185" s="19" t="str">
        <f>_xlfn.IFNA(INDEX(W2Pデータ貼り付け!O:O,MATCH(注文書!$A183,W2Pデータ貼り付け!$AM:$AM,0)),"")</f>
        <v/>
      </c>
      <c r="E185" s="19" t="str">
        <f>_xlfn.IFNA(INDEX(W2Pデータ貼り付け!U:U,MATCH(注文書!$A183,W2Pデータ貼り付け!$AM:$AM,0)),"")</f>
        <v/>
      </c>
      <c r="F185" s="28" t="str">
        <f>_xlfn.IFNA(INDEX(W2Pデータ貼り付け!AL:AL,MATCH(注文書!$A183,W2Pデータ貼り付け!$AM:$AM,0)),"")</f>
        <v/>
      </c>
      <c r="G185" s="29"/>
      <c r="H185" s="29"/>
      <c r="I185" s="29"/>
    </row>
    <row r="186" spans="1:9" ht="14.25" customHeight="1" x14ac:dyDescent="0.25">
      <c r="A186" s="216">
        <v>61</v>
      </c>
      <c r="B186" s="22" t="str">
        <f>IFERROR(LEFT(_xlfn.IFNA(INDEX(W2Pデータ貼り付け!B:B,MATCH(注文書!$A186,W2Pデータ貼り付け!$AM:$AM,0)),""),FIND("-",_xlfn.IFNA(INDEX(W2Pデータ貼り付け!B:B,MATCH(注文書!$A186,W2Pデータ貼り付け!$AM:$AM,0)),""))-1),_xlfn.IFNA(INDEX(W2Pデータ貼り付け!B:B,MATCH(注文書!$A186,W2Pデータ貼り付け!$AM:$AM,0)),""))</f>
        <v/>
      </c>
      <c r="C186" s="222" t="str">
        <f>_xlfn.IFNA(DATEVALUE(TEXT(INDEX(W2Pデータ貼り付け!AF:AF,MATCH(注文書!$A186,W2Pデータ貼り付け!$AM:$AM,0)),"0000!/00!/00")),"")</f>
        <v/>
      </c>
      <c r="D186" s="17" t="str">
        <f>_xlfn.IFNA(INDEX(W2Pデータ貼り付け!M:M,MATCH(注文書!$A186,W2Pデータ貼り付け!$AM:$AM,0)),"")</f>
        <v/>
      </c>
      <c r="E186" s="17" t="str">
        <f>_xlfn.IFNA(INDEX(W2Pデータ貼り付け!T:T,MATCH(注文書!$A186,W2Pデータ貼り付け!$AM:$AM,0)),"")</f>
        <v/>
      </c>
      <c r="F186" s="23" t="str" cm="1">
        <f t="array" ref="F186">_xlfn.IFNA(_xlfn.SINGLE(INDEX(CONCATENATE(W2Pデータ貼り付け!V:V,"部"),MATCH(注文書!$A186,W2Pデータ貼り付け!$AM:$AM,0))),"")</f>
        <v/>
      </c>
      <c r="G186" s="24"/>
      <c r="H186" s="24"/>
      <c r="I186" s="24"/>
    </row>
    <row r="187" spans="1:9" ht="14.25" customHeight="1" x14ac:dyDescent="0.25">
      <c r="A187" s="217"/>
      <c r="B187" s="25" t="str">
        <f>IFERROR(MID(_xlfn.IFNA(INDEX(W2Pデータ貼り付け!B:B,MATCH(注文書!$A186,W2Pデータ貼り付け!$AM:$AM,0)),""),FIND("-",_xlfn.IFNA(INDEX(W2Pデータ貼り付け!B:B,MATCH(注文書!$A186,W2Pデータ貼り付け!$AM:$AM,0)),"")),LEN(_xlfn.IFNA(INDEX(W2Pデータ貼り付け!B:B,MATCH(注文書!$A186,W2Pデータ貼り付け!$AM:$AM,0)),""))),"")</f>
        <v/>
      </c>
      <c r="C187" s="223"/>
      <c r="D187" s="18" t="str">
        <f>_xlfn.IFNA(INDEX(W2Pデータ貼り付け!N:N,MATCH(注文書!$A186,W2Pデータ貼り付け!$AM:$AM,0)),"")</f>
        <v/>
      </c>
      <c r="E187" s="18"/>
      <c r="F187" s="26" t="str">
        <f>_xlfn.IFNA(INDEX(W2Pデータ貼り付け!AK:AK,MATCH(注文書!$A186,W2Pデータ貼り付け!$AM:$AM,0)),"")</f>
        <v/>
      </c>
      <c r="G187" s="27"/>
      <c r="H187" s="27"/>
      <c r="I187" s="27"/>
    </row>
    <row r="188" spans="1:9" ht="14.25" customHeight="1" x14ac:dyDescent="0.25">
      <c r="A188" s="218"/>
      <c r="B188" s="36" t="str">
        <f ca="1">IF(B186&lt;&gt;"",TODAY(),"")</f>
        <v/>
      </c>
      <c r="C188" s="224"/>
      <c r="D188" s="19" t="str">
        <f>_xlfn.IFNA(INDEX(W2Pデータ貼り付け!O:O,MATCH(注文書!$A186,W2Pデータ貼り付け!$AM:$AM,0)),"")</f>
        <v/>
      </c>
      <c r="E188" s="19" t="str">
        <f>_xlfn.IFNA(INDEX(W2Pデータ貼り付け!U:U,MATCH(注文書!$A186,W2Pデータ貼り付け!$AM:$AM,0)),"")</f>
        <v/>
      </c>
      <c r="F188" s="28" t="str">
        <f>_xlfn.IFNA(INDEX(W2Pデータ貼り付け!AL:AL,MATCH(注文書!$A186,W2Pデータ貼り付け!$AM:$AM,0)),"")</f>
        <v/>
      </c>
      <c r="G188" s="29"/>
      <c r="H188" s="29"/>
      <c r="I188" s="29"/>
    </row>
    <row r="189" spans="1:9" ht="14.25" customHeight="1" x14ac:dyDescent="0.25">
      <c r="A189" s="216">
        <v>62</v>
      </c>
      <c r="B189" s="22" t="str">
        <f>IFERROR(LEFT(_xlfn.IFNA(INDEX(W2Pデータ貼り付け!B:B,MATCH(注文書!$A189,W2Pデータ貼り付け!$AM:$AM,0)),""),FIND("-",_xlfn.IFNA(INDEX(W2Pデータ貼り付け!B:B,MATCH(注文書!$A189,W2Pデータ貼り付け!$AM:$AM,0)),""))-1),_xlfn.IFNA(INDEX(W2Pデータ貼り付け!B:B,MATCH(注文書!$A189,W2Pデータ貼り付け!$AM:$AM,0)),""))</f>
        <v/>
      </c>
      <c r="C189" s="222" t="str">
        <f>_xlfn.IFNA(DATEVALUE(TEXT(INDEX(W2Pデータ貼り付け!AF:AF,MATCH(注文書!$A189,W2Pデータ貼り付け!$AM:$AM,0)),"0000!/00!/00")),"")</f>
        <v/>
      </c>
      <c r="D189" s="17" t="str">
        <f>_xlfn.IFNA(INDEX(W2Pデータ貼り付け!M:M,MATCH(注文書!$A189,W2Pデータ貼り付け!$AM:$AM,0)),"")</f>
        <v/>
      </c>
      <c r="E189" s="17" t="str">
        <f>_xlfn.IFNA(INDEX(W2Pデータ貼り付け!T:T,MATCH(注文書!$A189,W2Pデータ貼り付け!$AM:$AM,0)),"")</f>
        <v/>
      </c>
      <c r="F189" s="23" t="str" cm="1">
        <f t="array" ref="F189">_xlfn.IFNA(_xlfn.SINGLE(INDEX(CONCATENATE(W2Pデータ貼り付け!V:V,"部"),MATCH(注文書!$A189,W2Pデータ貼り付け!$AM:$AM,0))),"")</f>
        <v/>
      </c>
      <c r="G189" s="24"/>
      <c r="H189" s="24"/>
      <c r="I189" s="24"/>
    </row>
    <row r="190" spans="1:9" ht="14.25" customHeight="1" x14ac:dyDescent="0.25">
      <c r="A190" s="217"/>
      <c r="B190" s="25" t="str">
        <f>IFERROR(MID(_xlfn.IFNA(INDEX(W2Pデータ貼り付け!B:B,MATCH(注文書!$A189,W2Pデータ貼り付け!$AM:$AM,0)),""),FIND("-",_xlfn.IFNA(INDEX(W2Pデータ貼り付け!B:B,MATCH(注文書!$A189,W2Pデータ貼り付け!$AM:$AM,0)),"")),LEN(_xlfn.IFNA(INDEX(W2Pデータ貼り付け!B:B,MATCH(注文書!$A189,W2Pデータ貼り付け!$AM:$AM,0)),""))),"")</f>
        <v/>
      </c>
      <c r="C190" s="223"/>
      <c r="D190" s="18" t="str">
        <f>_xlfn.IFNA(INDEX(W2Pデータ貼り付け!N:N,MATCH(注文書!$A189,W2Pデータ貼り付け!$AM:$AM,0)),"")</f>
        <v/>
      </c>
      <c r="E190" s="18"/>
      <c r="F190" s="26" t="str">
        <f>_xlfn.IFNA(INDEX(W2Pデータ貼り付け!AK:AK,MATCH(注文書!$A189,W2Pデータ貼り付け!$AM:$AM,0)),"")</f>
        <v/>
      </c>
      <c r="G190" s="27"/>
      <c r="H190" s="27"/>
      <c r="I190" s="27"/>
    </row>
    <row r="191" spans="1:9" ht="14.25" customHeight="1" x14ac:dyDescent="0.25">
      <c r="A191" s="218"/>
      <c r="B191" s="36" t="str">
        <f ca="1">IF(B189&lt;&gt;"",TODAY(),"")</f>
        <v/>
      </c>
      <c r="C191" s="224"/>
      <c r="D191" s="19" t="str">
        <f>_xlfn.IFNA(INDEX(W2Pデータ貼り付け!O:O,MATCH(注文書!$A189,W2Pデータ貼り付け!$AM:$AM,0)),"")</f>
        <v/>
      </c>
      <c r="E191" s="19" t="str">
        <f>_xlfn.IFNA(INDEX(W2Pデータ貼り付け!U:U,MATCH(注文書!$A189,W2Pデータ貼り付け!$AM:$AM,0)),"")</f>
        <v/>
      </c>
      <c r="F191" s="28" t="str">
        <f>_xlfn.IFNA(INDEX(W2Pデータ貼り付け!AL:AL,MATCH(注文書!$A189,W2Pデータ貼り付け!$AM:$AM,0)),"")</f>
        <v/>
      </c>
      <c r="G191" s="29"/>
      <c r="H191" s="29"/>
      <c r="I191" s="29"/>
    </row>
    <row r="192" spans="1:9" ht="14.25" customHeight="1" x14ac:dyDescent="0.25">
      <c r="A192" s="216">
        <v>63</v>
      </c>
      <c r="B192" s="22" t="str">
        <f>IFERROR(LEFT(_xlfn.IFNA(INDEX(W2Pデータ貼り付け!B:B,MATCH(注文書!$A192,W2Pデータ貼り付け!$AM:$AM,0)),""),FIND("-",_xlfn.IFNA(INDEX(W2Pデータ貼り付け!B:B,MATCH(注文書!$A192,W2Pデータ貼り付け!$AM:$AM,0)),""))-1),_xlfn.IFNA(INDEX(W2Pデータ貼り付け!B:B,MATCH(注文書!$A192,W2Pデータ貼り付け!$AM:$AM,0)),""))</f>
        <v/>
      </c>
      <c r="C192" s="222" t="str">
        <f>_xlfn.IFNA(DATEVALUE(TEXT(INDEX(W2Pデータ貼り付け!AF:AF,MATCH(注文書!$A192,W2Pデータ貼り付け!$AM:$AM,0)),"0000!/00!/00")),"")</f>
        <v/>
      </c>
      <c r="D192" s="17" t="str">
        <f>_xlfn.IFNA(INDEX(W2Pデータ貼り付け!M:M,MATCH(注文書!$A192,W2Pデータ貼り付け!$AM:$AM,0)),"")</f>
        <v/>
      </c>
      <c r="E192" s="17" t="str">
        <f>_xlfn.IFNA(INDEX(W2Pデータ貼り付け!T:T,MATCH(注文書!$A192,W2Pデータ貼り付け!$AM:$AM,0)),"")</f>
        <v/>
      </c>
      <c r="F192" s="23" t="str" cm="1">
        <f t="array" ref="F192">_xlfn.IFNA(_xlfn.SINGLE(INDEX(CONCATENATE(W2Pデータ貼り付け!V:V,"部"),MATCH(注文書!$A192,W2Pデータ貼り付け!$AM:$AM,0))),"")</f>
        <v/>
      </c>
      <c r="G192" s="24"/>
      <c r="H192" s="24"/>
      <c r="I192" s="24"/>
    </row>
    <row r="193" spans="1:9" ht="14.25" customHeight="1" x14ac:dyDescent="0.25">
      <c r="A193" s="217"/>
      <c r="B193" s="25" t="str">
        <f>IFERROR(MID(_xlfn.IFNA(INDEX(W2Pデータ貼り付け!B:B,MATCH(注文書!$A192,W2Pデータ貼り付け!$AM:$AM,0)),""),FIND("-",_xlfn.IFNA(INDEX(W2Pデータ貼り付け!B:B,MATCH(注文書!$A192,W2Pデータ貼り付け!$AM:$AM,0)),"")),LEN(_xlfn.IFNA(INDEX(W2Pデータ貼り付け!B:B,MATCH(注文書!$A192,W2Pデータ貼り付け!$AM:$AM,0)),""))),"")</f>
        <v/>
      </c>
      <c r="C193" s="223"/>
      <c r="D193" s="18" t="str">
        <f>_xlfn.IFNA(INDEX(W2Pデータ貼り付け!N:N,MATCH(注文書!$A192,W2Pデータ貼り付け!$AM:$AM,0)),"")</f>
        <v/>
      </c>
      <c r="E193" s="18"/>
      <c r="F193" s="26" t="str">
        <f>_xlfn.IFNA(INDEX(W2Pデータ貼り付け!AK:AK,MATCH(注文書!$A192,W2Pデータ貼り付け!$AM:$AM,0)),"")</f>
        <v/>
      </c>
      <c r="G193" s="27"/>
      <c r="H193" s="27"/>
      <c r="I193" s="27"/>
    </row>
    <row r="194" spans="1:9" ht="14.25" customHeight="1" x14ac:dyDescent="0.25">
      <c r="A194" s="218"/>
      <c r="B194" s="36" t="str">
        <f ca="1">IF(B192&lt;&gt;"",TODAY(),"")</f>
        <v/>
      </c>
      <c r="C194" s="224"/>
      <c r="D194" s="19" t="str">
        <f>_xlfn.IFNA(INDEX(W2Pデータ貼り付け!O:O,MATCH(注文書!$A192,W2Pデータ貼り付け!$AM:$AM,0)),"")</f>
        <v/>
      </c>
      <c r="E194" s="19" t="str">
        <f>_xlfn.IFNA(INDEX(W2Pデータ貼り付け!U:U,MATCH(注文書!$A192,W2Pデータ貼り付け!$AM:$AM,0)),"")</f>
        <v/>
      </c>
      <c r="F194" s="28" t="str">
        <f>_xlfn.IFNA(INDEX(W2Pデータ貼り付け!AL:AL,MATCH(注文書!$A192,W2Pデータ貼り付け!$AM:$AM,0)),"")</f>
        <v/>
      </c>
      <c r="G194" s="29"/>
      <c r="H194" s="29"/>
      <c r="I194" s="29"/>
    </row>
    <row r="195" spans="1:9" ht="14.25" customHeight="1" x14ac:dyDescent="0.25">
      <c r="A195" s="216">
        <v>64</v>
      </c>
      <c r="B195" s="22" t="str">
        <f>IFERROR(LEFT(_xlfn.IFNA(INDEX(W2Pデータ貼り付け!B:B,MATCH(注文書!$A195,W2Pデータ貼り付け!$AM:$AM,0)),""),FIND("-",_xlfn.IFNA(INDEX(W2Pデータ貼り付け!B:B,MATCH(注文書!$A195,W2Pデータ貼り付け!$AM:$AM,0)),""))-1),_xlfn.IFNA(INDEX(W2Pデータ貼り付け!B:B,MATCH(注文書!$A195,W2Pデータ貼り付け!$AM:$AM,0)),""))</f>
        <v/>
      </c>
      <c r="C195" s="222" t="str">
        <f>_xlfn.IFNA(DATEVALUE(TEXT(INDEX(W2Pデータ貼り付け!AF:AF,MATCH(注文書!$A195,W2Pデータ貼り付け!$AM:$AM,0)),"0000!/00!/00")),"")</f>
        <v/>
      </c>
      <c r="D195" s="17" t="str">
        <f>_xlfn.IFNA(INDEX(W2Pデータ貼り付け!M:M,MATCH(注文書!$A195,W2Pデータ貼り付け!$AM:$AM,0)),"")</f>
        <v/>
      </c>
      <c r="E195" s="17" t="str">
        <f>_xlfn.IFNA(INDEX(W2Pデータ貼り付け!T:T,MATCH(注文書!$A195,W2Pデータ貼り付け!$AM:$AM,0)),"")</f>
        <v/>
      </c>
      <c r="F195" s="23" t="str" cm="1">
        <f t="array" ref="F195">_xlfn.IFNA(_xlfn.SINGLE(INDEX(CONCATENATE(W2Pデータ貼り付け!V:V,"部"),MATCH(注文書!$A195,W2Pデータ貼り付け!$AM:$AM,0))),"")</f>
        <v/>
      </c>
      <c r="G195" s="24"/>
      <c r="H195" s="24"/>
      <c r="I195" s="24"/>
    </row>
    <row r="196" spans="1:9" ht="14.25" customHeight="1" x14ac:dyDescent="0.25">
      <c r="A196" s="217"/>
      <c r="B196" s="25" t="str">
        <f>IFERROR(MID(_xlfn.IFNA(INDEX(W2Pデータ貼り付け!B:B,MATCH(注文書!$A195,W2Pデータ貼り付け!$AM:$AM,0)),""),FIND("-",_xlfn.IFNA(INDEX(W2Pデータ貼り付け!B:B,MATCH(注文書!$A195,W2Pデータ貼り付け!$AM:$AM,0)),"")),LEN(_xlfn.IFNA(INDEX(W2Pデータ貼り付け!B:B,MATCH(注文書!$A195,W2Pデータ貼り付け!$AM:$AM,0)),""))),"")</f>
        <v/>
      </c>
      <c r="C196" s="223"/>
      <c r="D196" s="18" t="str">
        <f>_xlfn.IFNA(INDEX(W2Pデータ貼り付け!N:N,MATCH(注文書!$A195,W2Pデータ貼り付け!$AM:$AM,0)),"")</f>
        <v/>
      </c>
      <c r="E196" s="18"/>
      <c r="F196" s="26" t="str">
        <f>_xlfn.IFNA(INDEX(W2Pデータ貼り付け!AK:AK,MATCH(注文書!$A195,W2Pデータ貼り付け!$AM:$AM,0)),"")</f>
        <v/>
      </c>
      <c r="G196" s="27"/>
      <c r="H196" s="27"/>
      <c r="I196" s="27"/>
    </row>
    <row r="197" spans="1:9" ht="14.25" customHeight="1" x14ac:dyDescent="0.25">
      <c r="A197" s="218"/>
      <c r="B197" s="36" t="str">
        <f ca="1">IF(B195&lt;&gt;"",TODAY(),"")</f>
        <v/>
      </c>
      <c r="C197" s="224"/>
      <c r="D197" s="19" t="str">
        <f>_xlfn.IFNA(INDEX(W2Pデータ貼り付け!O:O,MATCH(注文書!$A195,W2Pデータ貼り付け!$AM:$AM,0)),"")</f>
        <v/>
      </c>
      <c r="E197" s="19" t="str">
        <f>_xlfn.IFNA(INDEX(W2Pデータ貼り付け!U:U,MATCH(注文書!$A195,W2Pデータ貼り付け!$AM:$AM,0)),"")</f>
        <v/>
      </c>
      <c r="F197" s="28" t="str">
        <f>_xlfn.IFNA(INDEX(W2Pデータ貼り付け!AL:AL,MATCH(注文書!$A195,W2Pデータ貼り付け!$AM:$AM,0)),"")</f>
        <v/>
      </c>
      <c r="G197" s="29"/>
      <c r="H197" s="29"/>
      <c r="I197" s="29"/>
    </row>
    <row r="198" spans="1:9" ht="14.25" customHeight="1" x14ac:dyDescent="0.25">
      <c r="A198" s="216">
        <v>65</v>
      </c>
      <c r="B198" s="22" t="str">
        <f>IFERROR(LEFT(_xlfn.IFNA(INDEX(W2Pデータ貼り付け!B:B,MATCH(注文書!$A198,W2Pデータ貼り付け!$AM:$AM,0)),""),FIND("-",_xlfn.IFNA(INDEX(W2Pデータ貼り付け!B:B,MATCH(注文書!$A198,W2Pデータ貼り付け!$AM:$AM,0)),""))-1),_xlfn.IFNA(INDEX(W2Pデータ貼り付け!B:B,MATCH(注文書!$A198,W2Pデータ貼り付け!$AM:$AM,0)),""))</f>
        <v/>
      </c>
      <c r="C198" s="222" t="str">
        <f>_xlfn.IFNA(DATEVALUE(TEXT(INDEX(W2Pデータ貼り付け!AF:AF,MATCH(注文書!$A198,W2Pデータ貼り付け!$AM:$AM,0)),"0000!/00!/00")),"")</f>
        <v/>
      </c>
      <c r="D198" s="17" t="str">
        <f>_xlfn.IFNA(INDEX(W2Pデータ貼り付け!M:M,MATCH(注文書!$A198,W2Pデータ貼り付け!$AM:$AM,0)),"")</f>
        <v/>
      </c>
      <c r="E198" s="17" t="str">
        <f>_xlfn.IFNA(INDEX(W2Pデータ貼り付け!T:T,MATCH(注文書!$A198,W2Pデータ貼り付け!$AM:$AM,0)),"")</f>
        <v/>
      </c>
      <c r="F198" s="23" t="str" cm="1">
        <f t="array" ref="F198">_xlfn.IFNA(_xlfn.SINGLE(INDEX(CONCATENATE(W2Pデータ貼り付け!V:V,"部"),MATCH(注文書!$A198,W2Pデータ貼り付け!$AM:$AM,0))),"")</f>
        <v/>
      </c>
      <c r="G198" s="24"/>
      <c r="H198" s="24"/>
      <c r="I198" s="24"/>
    </row>
    <row r="199" spans="1:9" ht="14.25" customHeight="1" x14ac:dyDescent="0.25">
      <c r="A199" s="217"/>
      <c r="B199" s="25" t="str">
        <f>IFERROR(MID(_xlfn.IFNA(INDEX(W2Pデータ貼り付け!B:B,MATCH(注文書!$A198,W2Pデータ貼り付け!$AM:$AM,0)),""),FIND("-",_xlfn.IFNA(INDEX(W2Pデータ貼り付け!B:B,MATCH(注文書!$A198,W2Pデータ貼り付け!$AM:$AM,0)),"")),LEN(_xlfn.IFNA(INDEX(W2Pデータ貼り付け!B:B,MATCH(注文書!$A198,W2Pデータ貼り付け!$AM:$AM,0)),""))),"")</f>
        <v/>
      </c>
      <c r="C199" s="223"/>
      <c r="D199" s="18" t="str">
        <f>_xlfn.IFNA(INDEX(W2Pデータ貼り付け!N:N,MATCH(注文書!$A198,W2Pデータ貼り付け!$AM:$AM,0)),"")</f>
        <v/>
      </c>
      <c r="E199" s="18"/>
      <c r="F199" s="26" t="str">
        <f>_xlfn.IFNA(INDEX(W2Pデータ貼り付け!AK:AK,MATCH(注文書!$A198,W2Pデータ貼り付け!$AM:$AM,0)),"")</f>
        <v/>
      </c>
      <c r="G199" s="27"/>
      <c r="H199" s="27"/>
      <c r="I199" s="27"/>
    </row>
    <row r="200" spans="1:9" ht="14.25" customHeight="1" x14ac:dyDescent="0.25">
      <c r="A200" s="218"/>
      <c r="B200" s="36" t="str">
        <f ca="1">IF(B198&lt;&gt;"",TODAY(),"")</f>
        <v/>
      </c>
      <c r="C200" s="224"/>
      <c r="D200" s="19" t="str">
        <f>_xlfn.IFNA(INDEX(W2Pデータ貼り付け!O:O,MATCH(注文書!$A198,W2Pデータ貼り付け!$AM:$AM,0)),"")</f>
        <v/>
      </c>
      <c r="E200" s="19" t="str">
        <f>_xlfn.IFNA(INDEX(W2Pデータ貼り付け!U:U,MATCH(注文書!$A198,W2Pデータ貼り付け!$AM:$AM,0)),"")</f>
        <v/>
      </c>
      <c r="F200" s="28" t="str">
        <f>_xlfn.IFNA(INDEX(W2Pデータ貼り付け!AL:AL,MATCH(注文書!$A198,W2Pデータ貼り付け!$AM:$AM,0)),"")</f>
        <v/>
      </c>
      <c r="G200" s="29"/>
      <c r="H200" s="29"/>
      <c r="I200" s="29"/>
    </row>
    <row r="201" spans="1:9" ht="14.25" customHeight="1" x14ac:dyDescent="0.25">
      <c r="A201" s="216">
        <v>66</v>
      </c>
      <c r="B201" s="22" t="str">
        <f>IFERROR(LEFT(_xlfn.IFNA(INDEX(W2Pデータ貼り付け!B:B,MATCH(注文書!$A201,W2Pデータ貼り付け!$AM:$AM,0)),""),FIND("-",_xlfn.IFNA(INDEX(W2Pデータ貼り付け!B:B,MATCH(注文書!$A201,W2Pデータ貼り付け!$AM:$AM,0)),""))-1),_xlfn.IFNA(INDEX(W2Pデータ貼り付け!B:B,MATCH(注文書!$A201,W2Pデータ貼り付け!$AM:$AM,0)),""))</f>
        <v/>
      </c>
      <c r="C201" s="222" t="str">
        <f>_xlfn.IFNA(DATEVALUE(TEXT(INDEX(W2Pデータ貼り付け!AF:AF,MATCH(注文書!$A201,W2Pデータ貼り付け!$AM:$AM,0)),"0000!/00!/00")),"")</f>
        <v/>
      </c>
      <c r="D201" s="17" t="str">
        <f>_xlfn.IFNA(INDEX(W2Pデータ貼り付け!M:M,MATCH(注文書!$A201,W2Pデータ貼り付け!$AM:$AM,0)),"")</f>
        <v/>
      </c>
      <c r="E201" s="17" t="str">
        <f>_xlfn.IFNA(INDEX(W2Pデータ貼り付け!T:T,MATCH(注文書!$A201,W2Pデータ貼り付け!$AM:$AM,0)),"")</f>
        <v/>
      </c>
      <c r="F201" s="23" t="str" cm="1">
        <f t="array" ref="F201">_xlfn.IFNA(_xlfn.SINGLE(INDEX(CONCATENATE(W2Pデータ貼り付け!V:V,"部"),MATCH(注文書!$A201,W2Pデータ貼り付け!$AM:$AM,0))),"")</f>
        <v/>
      </c>
      <c r="G201" s="24"/>
      <c r="H201" s="24"/>
      <c r="I201" s="24"/>
    </row>
    <row r="202" spans="1:9" ht="14.25" customHeight="1" x14ac:dyDescent="0.25">
      <c r="A202" s="217"/>
      <c r="B202" s="25" t="str">
        <f>IFERROR(MID(_xlfn.IFNA(INDEX(W2Pデータ貼り付け!B:B,MATCH(注文書!$A201,W2Pデータ貼り付け!$AM:$AM,0)),""),FIND("-",_xlfn.IFNA(INDEX(W2Pデータ貼り付け!B:B,MATCH(注文書!$A201,W2Pデータ貼り付け!$AM:$AM,0)),"")),LEN(_xlfn.IFNA(INDEX(W2Pデータ貼り付け!B:B,MATCH(注文書!$A201,W2Pデータ貼り付け!$AM:$AM,0)),""))),"")</f>
        <v/>
      </c>
      <c r="C202" s="223"/>
      <c r="D202" s="18" t="str">
        <f>_xlfn.IFNA(INDEX(W2Pデータ貼り付け!N:N,MATCH(注文書!$A201,W2Pデータ貼り付け!$AM:$AM,0)),"")</f>
        <v/>
      </c>
      <c r="E202" s="18"/>
      <c r="F202" s="26" t="str">
        <f>_xlfn.IFNA(INDEX(W2Pデータ貼り付け!AK:AK,MATCH(注文書!$A201,W2Pデータ貼り付け!$AM:$AM,0)),"")</f>
        <v/>
      </c>
      <c r="G202" s="27"/>
      <c r="H202" s="27"/>
      <c r="I202" s="27"/>
    </row>
    <row r="203" spans="1:9" ht="14.25" customHeight="1" x14ac:dyDescent="0.25">
      <c r="A203" s="218"/>
      <c r="B203" s="36" t="str">
        <f ca="1">IF(B201&lt;&gt;"",TODAY(),"")</f>
        <v/>
      </c>
      <c r="C203" s="224"/>
      <c r="D203" s="19" t="str">
        <f>_xlfn.IFNA(INDEX(W2Pデータ貼り付け!O:O,MATCH(注文書!$A201,W2Pデータ貼り付け!$AM:$AM,0)),"")</f>
        <v/>
      </c>
      <c r="E203" s="19" t="str">
        <f>_xlfn.IFNA(INDEX(W2Pデータ貼り付け!U:U,MATCH(注文書!$A201,W2Pデータ貼り付け!$AM:$AM,0)),"")</f>
        <v/>
      </c>
      <c r="F203" s="28" t="str">
        <f>_xlfn.IFNA(INDEX(W2Pデータ貼り付け!AL:AL,MATCH(注文書!$A201,W2Pデータ貼り付け!$AM:$AM,0)),"")</f>
        <v/>
      </c>
      <c r="G203" s="29"/>
      <c r="H203" s="29"/>
      <c r="I203" s="29"/>
    </row>
    <row r="204" spans="1:9" ht="14.25" customHeight="1" x14ac:dyDescent="0.25">
      <c r="A204" s="216">
        <v>67</v>
      </c>
      <c r="B204" s="22" t="str">
        <f>IFERROR(LEFT(_xlfn.IFNA(INDEX(W2Pデータ貼り付け!B:B,MATCH(注文書!$A204,W2Pデータ貼り付け!$AM:$AM,0)),""),FIND("-",_xlfn.IFNA(INDEX(W2Pデータ貼り付け!B:B,MATCH(注文書!$A204,W2Pデータ貼り付け!$AM:$AM,0)),""))-1),_xlfn.IFNA(INDEX(W2Pデータ貼り付け!B:B,MATCH(注文書!$A204,W2Pデータ貼り付け!$AM:$AM,0)),""))</f>
        <v/>
      </c>
      <c r="C204" s="222" t="str">
        <f>_xlfn.IFNA(DATEVALUE(TEXT(INDEX(W2Pデータ貼り付け!AF:AF,MATCH(注文書!$A204,W2Pデータ貼り付け!$AM:$AM,0)),"0000!/00!/00")),"")</f>
        <v/>
      </c>
      <c r="D204" s="17" t="str">
        <f>_xlfn.IFNA(INDEX(W2Pデータ貼り付け!M:M,MATCH(注文書!$A204,W2Pデータ貼り付け!$AM:$AM,0)),"")</f>
        <v/>
      </c>
      <c r="E204" s="17" t="str">
        <f>_xlfn.IFNA(INDEX(W2Pデータ貼り付け!T:T,MATCH(注文書!$A204,W2Pデータ貼り付け!$AM:$AM,0)),"")</f>
        <v/>
      </c>
      <c r="F204" s="23" t="str" cm="1">
        <f t="array" ref="F204">_xlfn.IFNA(_xlfn.SINGLE(INDEX(CONCATENATE(W2Pデータ貼り付け!V:V,"部"),MATCH(注文書!$A204,W2Pデータ貼り付け!$AM:$AM,0))),"")</f>
        <v/>
      </c>
      <c r="G204" s="24"/>
      <c r="H204" s="24"/>
      <c r="I204" s="24"/>
    </row>
    <row r="205" spans="1:9" ht="14.25" customHeight="1" x14ac:dyDescent="0.25">
      <c r="A205" s="217"/>
      <c r="B205" s="25" t="str">
        <f>IFERROR(MID(_xlfn.IFNA(INDEX(W2Pデータ貼り付け!B:B,MATCH(注文書!$A204,W2Pデータ貼り付け!$AM:$AM,0)),""),FIND("-",_xlfn.IFNA(INDEX(W2Pデータ貼り付け!B:B,MATCH(注文書!$A204,W2Pデータ貼り付け!$AM:$AM,0)),"")),LEN(_xlfn.IFNA(INDEX(W2Pデータ貼り付け!B:B,MATCH(注文書!$A204,W2Pデータ貼り付け!$AM:$AM,0)),""))),"")</f>
        <v/>
      </c>
      <c r="C205" s="223"/>
      <c r="D205" s="18" t="str">
        <f>_xlfn.IFNA(INDEX(W2Pデータ貼り付け!N:N,MATCH(注文書!$A204,W2Pデータ貼り付け!$AM:$AM,0)),"")</f>
        <v/>
      </c>
      <c r="E205" s="18"/>
      <c r="F205" s="26" t="str">
        <f>_xlfn.IFNA(INDEX(W2Pデータ貼り付け!AK:AK,MATCH(注文書!$A204,W2Pデータ貼り付け!$AM:$AM,0)),"")</f>
        <v/>
      </c>
      <c r="G205" s="27"/>
      <c r="H205" s="27"/>
      <c r="I205" s="27"/>
    </row>
    <row r="206" spans="1:9" ht="14.25" customHeight="1" x14ac:dyDescent="0.25">
      <c r="A206" s="218"/>
      <c r="B206" s="36" t="str">
        <f ca="1">IF(B204&lt;&gt;"",TODAY(),"")</f>
        <v/>
      </c>
      <c r="C206" s="224"/>
      <c r="D206" s="19" t="str">
        <f>_xlfn.IFNA(INDEX(W2Pデータ貼り付け!O:O,MATCH(注文書!$A204,W2Pデータ貼り付け!$AM:$AM,0)),"")</f>
        <v/>
      </c>
      <c r="E206" s="19" t="str">
        <f>_xlfn.IFNA(INDEX(W2Pデータ貼り付け!U:U,MATCH(注文書!$A204,W2Pデータ貼り付け!$AM:$AM,0)),"")</f>
        <v/>
      </c>
      <c r="F206" s="28" t="str">
        <f>_xlfn.IFNA(INDEX(W2Pデータ貼り付け!AL:AL,MATCH(注文書!$A204,W2Pデータ貼り付け!$AM:$AM,0)),"")</f>
        <v/>
      </c>
      <c r="G206" s="29"/>
      <c r="H206" s="29"/>
      <c r="I206" s="29"/>
    </row>
    <row r="207" spans="1:9" ht="14.25" customHeight="1" x14ac:dyDescent="0.25">
      <c r="A207" s="216">
        <v>68</v>
      </c>
      <c r="B207" s="22" t="str">
        <f>IFERROR(LEFT(_xlfn.IFNA(INDEX(W2Pデータ貼り付け!B:B,MATCH(注文書!$A207,W2Pデータ貼り付け!$AM:$AM,0)),""),FIND("-",_xlfn.IFNA(INDEX(W2Pデータ貼り付け!B:B,MATCH(注文書!$A207,W2Pデータ貼り付け!$AM:$AM,0)),""))-1),_xlfn.IFNA(INDEX(W2Pデータ貼り付け!B:B,MATCH(注文書!$A207,W2Pデータ貼り付け!$AM:$AM,0)),""))</f>
        <v/>
      </c>
      <c r="C207" s="222" t="str">
        <f>_xlfn.IFNA(DATEVALUE(TEXT(INDEX(W2Pデータ貼り付け!AF:AF,MATCH(注文書!$A207,W2Pデータ貼り付け!$AM:$AM,0)),"0000!/00!/00")),"")</f>
        <v/>
      </c>
      <c r="D207" s="17" t="str">
        <f>_xlfn.IFNA(INDEX(W2Pデータ貼り付け!M:M,MATCH(注文書!$A207,W2Pデータ貼り付け!$AM:$AM,0)),"")</f>
        <v/>
      </c>
      <c r="E207" s="17" t="str">
        <f>_xlfn.IFNA(INDEX(W2Pデータ貼り付け!T:T,MATCH(注文書!$A207,W2Pデータ貼り付け!$AM:$AM,0)),"")</f>
        <v/>
      </c>
      <c r="F207" s="23" t="str" cm="1">
        <f t="array" ref="F207">_xlfn.IFNA(_xlfn.SINGLE(INDEX(CONCATENATE(W2Pデータ貼り付け!V:V,"部"),MATCH(注文書!$A207,W2Pデータ貼り付け!$AM:$AM,0))),"")</f>
        <v/>
      </c>
      <c r="G207" s="24"/>
      <c r="H207" s="24"/>
      <c r="I207" s="24"/>
    </row>
    <row r="208" spans="1:9" ht="14.25" customHeight="1" x14ac:dyDescent="0.25">
      <c r="A208" s="217"/>
      <c r="B208" s="25" t="str">
        <f>IFERROR(MID(_xlfn.IFNA(INDEX(W2Pデータ貼り付け!B:B,MATCH(注文書!$A207,W2Pデータ貼り付け!$AM:$AM,0)),""),FIND("-",_xlfn.IFNA(INDEX(W2Pデータ貼り付け!B:B,MATCH(注文書!$A207,W2Pデータ貼り付け!$AM:$AM,0)),"")),LEN(_xlfn.IFNA(INDEX(W2Pデータ貼り付け!B:B,MATCH(注文書!$A207,W2Pデータ貼り付け!$AM:$AM,0)),""))),"")</f>
        <v/>
      </c>
      <c r="C208" s="223"/>
      <c r="D208" s="18" t="str">
        <f>_xlfn.IFNA(INDEX(W2Pデータ貼り付け!N:N,MATCH(注文書!$A207,W2Pデータ貼り付け!$AM:$AM,0)),"")</f>
        <v/>
      </c>
      <c r="E208" s="18"/>
      <c r="F208" s="26" t="str">
        <f>_xlfn.IFNA(INDEX(W2Pデータ貼り付け!AK:AK,MATCH(注文書!$A207,W2Pデータ貼り付け!$AM:$AM,0)),"")</f>
        <v/>
      </c>
      <c r="G208" s="27"/>
      <c r="H208" s="27"/>
      <c r="I208" s="27"/>
    </row>
    <row r="209" spans="1:9" ht="14.25" customHeight="1" x14ac:dyDescent="0.25">
      <c r="A209" s="218"/>
      <c r="B209" s="36" t="str">
        <f ca="1">IF(B207&lt;&gt;"",TODAY(),"")</f>
        <v/>
      </c>
      <c r="C209" s="224"/>
      <c r="D209" s="19" t="str">
        <f>_xlfn.IFNA(INDEX(W2Pデータ貼り付け!O:O,MATCH(注文書!$A207,W2Pデータ貼り付け!$AM:$AM,0)),"")</f>
        <v/>
      </c>
      <c r="E209" s="19" t="str">
        <f>_xlfn.IFNA(INDEX(W2Pデータ貼り付け!U:U,MATCH(注文書!$A207,W2Pデータ貼り付け!$AM:$AM,0)),"")</f>
        <v/>
      </c>
      <c r="F209" s="28" t="str">
        <f>_xlfn.IFNA(INDEX(W2Pデータ貼り付け!AL:AL,MATCH(注文書!$A207,W2Pデータ貼り付け!$AM:$AM,0)),"")</f>
        <v/>
      </c>
      <c r="G209" s="29"/>
      <c r="H209" s="29"/>
      <c r="I209" s="29"/>
    </row>
    <row r="210" spans="1:9" ht="14.25" customHeight="1" x14ac:dyDescent="0.25">
      <c r="A210" s="216">
        <v>69</v>
      </c>
      <c r="B210" s="22" t="str">
        <f>IFERROR(LEFT(_xlfn.IFNA(INDEX(W2Pデータ貼り付け!B:B,MATCH(注文書!$A210,W2Pデータ貼り付け!$AM:$AM,0)),""),FIND("-",_xlfn.IFNA(INDEX(W2Pデータ貼り付け!B:B,MATCH(注文書!$A210,W2Pデータ貼り付け!$AM:$AM,0)),""))-1),_xlfn.IFNA(INDEX(W2Pデータ貼り付け!B:B,MATCH(注文書!$A210,W2Pデータ貼り付け!$AM:$AM,0)),""))</f>
        <v/>
      </c>
      <c r="C210" s="222" t="str">
        <f>_xlfn.IFNA(DATEVALUE(TEXT(INDEX(W2Pデータ貼り付け!AF:AF,MATCH(注文書!$A210,W2Pデータ貼り付け!$AM:$AM,0)),"0000!/00!/00")),"")</f>
        <v/>
      </c>
      <c r="D210" s="17" t="str">
        <f>_xlfn.IFNA(INDEX(W2Pデータ貼り付け!M:M,MATCH(注文書!$A210,W2Pデータ貼り付け!$AM:$AM,0)),"")</f>
        <v/>
      </c>
      <c r="E210" s="17" t="str">
        <f>_xlfn.IFNA(INDEX(W2Pデータ貼り付け!T:T,MATCH(注文書!$A210,W2Pデータ貼り付け!$AM:$AM,0)),"")</f>
        <v/>
      </c>
      <c r="F210" s="23" t="str" cm="1">
        <f t="array" ref="F210">_xlfn.IFNA(_xlfn.SINGLE(INDEX(CONCATENATE(W2Pデータ貼り付け!V:V,"部"),MATCH(注文書!$A210,W2Pデータ貼り付け!$AM:$AM,0))),"")</f>
        <v/>
      </c>
      <c r="G210" s="24"/>
      <c r="H210" s="24"/>
      <c r="I210" s="24"/>
    </row>
    <row r="211" spans="1:9" ht="14.25" customHeight="1" x14ac:dyDescent="0.25">
      <c r="A211" s="217"/>
      <c r="B211" s="25" t="str">
        <f>IFERROR(MID(_xlfn.IFNA(INDEX(W2Pデータ貼り付け!B:B,MATCH(注文書!$A210,W2Pデータ貼り付け!$AM:$AM,0)),""),FIND("-",_xlfn.IFNA(INDEX(W2Pデータ貼り付け!B:B,MATCH(注文書!$A210,W2Pデータ貼り付け!$AM:$AM,0)),"")),LEN(_xlfn.IFNA(INDEX(W2Pデータ貼り付け!B:B,MATCH(注文書!$A210,W2Pデータ貼り付け!$AM:$AM,0)),""))),"")</f>
        <v/>
      </c>
      <c r="C211" s="223"/>
      <c r="D211" s="18" t="str">
        <f>_xlfn.IFNA(INDEX(W2Pデータ貼り付け!N:N,MATCH(注文書!$A210,W2Pデータ貼り付け!$AM:$AM,0)),"")</f>
        <v/>
      </c>
      <c r="E211" s="18"/>
      <c r="F211" s="26" t="str">
        <f>_xlfn.IFNA(INDEX(W2Pデータ貼り付け!AK:AK,MATCH(注文書!$A210,W2Pデータ貼り付け!$AM:$AM,0)),"")</f>
        <v/>
      </c>
      <c r="G211" s="27"/>
      <c r="H211" s="27"/>
      <c r="I211" s="27"/>
    </row>
    <row r="212" spans="1:9" ht="14.25" customHeight="1" x14ac:dyDescent="0.25">
      <c r="A212" s="218"/>
      <c r="B212" s="36" t="str">
        <f ca="1">IF(B210&lt;&gt;"",TODAY(),"")</f>
        <v/>
      </c>
      <c r="C212" s="224"/>
      <c r="D212" s="19" t="str">
        <f>_xlfn.IFNA(INDEX(W2Pデータ貼り付け!O:O,MATCH(注文書!$A210,W2Pデータ貼り付け!$AM:$AM,0)),"")</f>
        <v/>
      </c>
      <c r="E212" s="19" t="str">
        <f>_xlfn.IFNA(INDEX(W2Pデータ貼り付け!U:U,MATCH(注文書!$A210,W2Pデータ貼り付け!$AM:$AM,0)),"")</f>
        <v/>
      </c>
      <c r="F212" s="28" t="str">
        <f>_xlfn.IFNA(INDEX(W2Pデータ貼り付け!AL:AL,MATCH(注文書!$A210,W2Pデータ貼り付け!$AM:$AM,0)),"")</f>
        <v/>
      </c>
      <c r="G212" s="29"/>
      <c r="H212" s="29"/>
      <c r="I212" s="29"/>
    </row>
    <row r="213" spans="1:9" ht="14.25" customHeight="1" x14ac:dyDescent="0.25">
      <c r="A213" s="216">
        <v>70</v>
      </c>
      <c r="B213" s="22" t="str">
        <f>IFERROR(LEFT(_xlfn.IFNA(INDEX(W2Pデータ貼り付け!B:B,MATCH(注文書!$A213,W2Pデータ貼り付け!$AM:$AM,0)),""),FIND("-",_xlfn.IFNA(INDEX(W2Pデータ貼り付け!B:B,MATCH(注文書!$A213,W2Pデータ貼り付け!$AM:$AM,0)),""))-1),_xlfn.IFNA(INDEX(W2Pデータ貼り付け!B:B,MATCH(注文書!$A213,W2Pデータ貼り付け!$AM:$AM,0)),""))</f>
        <v/>
      </c>
      <c r="C213" s="222" t="str">
        <f>_xlfn.IFNA(DATEVALUE(TEXT(INDEX(W2Pデータ貼り付け!AF:AF,MATCH(注文書!$A213,W2Pデータ貼り付け!$AM:$AM,0)),"0000!/00!/00")),"")</f>
        <v/>
      </c>
      <c r="D213" s="17" t="str">
        <f>_xlfn.IFNA(INDEX(W2Pデータ貼り付け!M:M,MATCH(注文書!$A213,W2Pデータ貼り付け!$AM:$AM,0)),"")</f>
        <v/>
      </c>
      <c r="E213" s="17" t="str">
        <f>_xlfn.IFNA(INDEX(W2Pデータ貼り付け!T:T,MATCH(注文書!$A213,W2Pデータ貼り付け!$AM:$AM,0)),"")</f>
        <v/>
      </c>
      <c r="F213" s="23" t="str" cm="1">
        <f t="array" ref="F213">_xlfn.IFNA(_xlfn.SINGLE(INDEX(CONCATENATE(W2Pデータ貼り付け!V:V,"部"),MATCH(注文書!$A213,W2Pデータ貼り付け!$AM:$AM,0))),"")</f>
        <v/>
      </c>
      <c r="G213" s="24"/>
      <c r="H213" s="24"/>
      <c r="I213" s="24"/>
    </row>
    <row r="214" spans="1:9" ht="14.25" customHeight="1" x14ac:dyDescent="0.25">
      <c r="A214" s="217"/>
      <c r="B214" s="25" t="str">
        <f>IFERROR(MID(_xlfn.IFNA(INDEX(W2Pデータ貼り付け!B:B,MATCH(注文書!$A213,W2Pデータ貼り付け!$AM:$AM,0)),""),FIND("-",_xlfn.IFNA(INDEX(W2Pデータ貼り付け!B:B,MATCH(注文書!$A213,W2Pデータ貼り付け!$AM:$AM,0)),"")),LEN(_xlfn.IFNA(INDEX(W2Pデータ貼り付け!B:B,MATCH(注文書!$A213,W2Pデータ貼り付け!$AM:$AM,0)),""))),"")</f>
        <v/>
      </c>
      <c r="C214" s="223"/>
      <c r="D214" s="18" t="str">
        <f>_xlfn.IFNA(INDEX(W2Pデータ貼り付け!N:N,MATCH(注文書!$A213,W2Pデータ貼り付け!$AM:$AM,0)),"")</f>
        <v/>
      </c>
      <c r="E214" s="18"/>
      <c r="F214" s="26" t="str">
        <f>_xlfn.IFNA(INDEX(W2Pデータ貼り付け!AK:AK,MATCH(注文書!$A213,W2Pデータ貼り付け!$AM:$AM,0)),"")</f>
        <v/>
      </c>
      <c r="G214" s="27"/>
      <c r="H214" s="27"/>
      <c r="I214" s="27"/>
    </row>
    <row r="215" spans="1:9" ht="14.25" customHeight="1" x14ac:dyDescent="0.25">
      <c r="A215" s="218"/>
      <c r="B215" s="36" t="str">
        <f ca="1">IF(B213&lt;&gt;"",TODAY(),"")</f>
        <v/>
      </c>
      <c r="C215" s="224"/>
      <c r="D215" s="19" t="str">
        <f>_xlfn.IFNA(INDEX(W2Pデータ貼り付け!O:O,MATCH(注文書!$A213,W2Pデータ貼り付け!$AM:$AM,0)),"")</f>
        <v/>
      </c>
      <c r="E215" s="19" t="str">
        <f>_xlfn.IFNA(INDEX(W2Pデータ貼り付け!U:U,MATCH(注文書!$A213,W2Pデータ貼り付け!$AM:$AM,0)),"")</f>
        <v/>
      </c>
      <c r="F215" s="28" t="str">
        <f>_xlfn.IFNA(INDEX(W2Pデータ貼り付け!AL:AL,MATCH(注文書!$A213,W2Pデータ貼り付け!$AM:$AM,0)),"")</f>
        <v/>
      </c>
      <c r="G215" s="29"/>
      <c r="H215" s="29"/>
      <c r="I215" s="29"/>
    </row>
    <row r="216" spans="1:9" ht="14.25" customHeight="1" x14ac:dyDescent="0.25">
      <c r="A216" s="216">
        <v>71</v>
      </c>
      <c r="B216" s="22" t="str">
        <f>IFERROR(LEFT(_xlfn.IFNA(INDEX(W2Pデータ貼り付け!B:B,MATCH(注文書!$A216,W2Pデータ貼り付け!$AM:$AM,0)),""),FIND("-",_xlfn.IFNA(INDEX(W2Pデータ貼り付け!B:B,MATCH(注文書!$A216,W2Pデータ貼り付け!$AM:$AM,0)),""))-1),_xlfn.IFNA(INDEX(W2Pデータ貼り付け!B:B,MATCH(注文書!$A216,W2Pデータ貼り付け!$AM:$AM,0)),""))</f>
        <v/>
      </c>
      <c r="C216" s="222" t="str">
        <f>_xlfn.IFNA(DATEVALUE(TEXT(INDEX(W2Pデータ貼り付け!AF:AF,MATCH(注文書!$A216,W2Pデータ貼り付け!$AM:$AM,0)),"0000!/00!/00")),"")</f>
        <v/>
      </c>
      <c r="D216" s="17" t="str">
        <f>_xlfn.IFNA(INDEX(W2Pデータ貼り付け!M:M,MATCH(注文書!$A216,W2Pデータ貼り付け!$AM:$AM,0)),"")</f>
        <v/>
      </c>
      <c r="E216" s="17" t="str">
        <f>_xlfn.IFNA(INDEX(W2Pデータ貼り付け!T:T,MATCH(注文書!$A216,W2Pデータ貼り付け!$AM:$AM,0)),"")</f>
        <v/>
      </c>
      <c r="F216" s="23" t="str" cm="1">
        <f t="array" ref="F216">_xlfn.IFNA(_xlfn.SINGLE(INDEX(CONCATENATE(W2Pデータ貼り付け!V:V,"部"),MATCH(注文書!$A216,W2Pデータ貼り付け!$AM:$AM,0))),"")</f>
        <v/>
      </c>
      <c r="G216" s="24"/>
      <c r="H216" s="24"/>
      <c r="I216" s="24"/>
    </row>
    <row r="217" spans="1:9" ht="14.25" customHeight="1" x14ac:dyDescent="0.25">
      <c r="A217" s="217"/>
      <c r="B217" s="25" t="str">
        <f>IFERROR(MID(_xlfn.IFNA(INDEX(W2Pデータ貼り付け!B:B,MATCH(注文書!$A216,W2Pデータ貼り付け!$AM:$AM,0)),""),FIND("-",_xlfn.IFNA(INDEX(W2Pデータ貼り付け!B:B,MATCH(注文書!$A216,W2Pデータ貼り付け!$AM:$AM,0)),"")),LEN(_xlfn.IFNA(INDEX(W2Pデータ貼り付け!B:B,MATCH(注文書!$A216,W2Pデータ貼り付け!$AM:$AM,0)),""))),"")</f>
        <v/>
      </c>
      <c r="C217" s="223"/>
      <c r="D217" s="18" t="str">
        <f>_xlfn.IFNA(INDEX(W2Pデータ貼り付け!N:N,MATCH(注文書!$A216,W2Pデータ貼り付け!$AM:$AM,0)),"")</f>
        <v/>
      </c>
      <c r="E217" s="18"/>
      <c r="F217" s="26" t="str">
        <f>_xlfn.IFNA(INDEX(W2Pデータ貼り付け!AK:AK,MATCH(注文書!$A216,W2Pデータ貼り付け!$AM:$AM,0)),"")</f>
        <v/>
      </c>
      <c r="G217" s="27"/>
      <c r="H217" s="27"/>
      <c r="I217" s="27"/>
    </row>
    <row r="218" spans="1:9" ht="14.25" customHeight="1" x14ac:dyDescent="0.25">
      <c r="A218" s="218"/>
      <c r="B218" s="36" t="str">
        <f ca="1">IF(B216&lt;&gt;"",TODAY(),"")</f>
        <v/>
      </c>
      <c r="C218" s="224"/>
      <c r="D218" s="19" t="str">
        <f>_xlfn.IFNA(INDEX(W2Pデータ貼り付け!O:O,MATCH(注文書!$A216,W2Pデータ貼り付け!$AM:$AM,0)),"")</f>
        <v/>
      </c>
      <c r="E218" s="19" t="str">
        <f>_xlfn.IFNA(INDEX(W2Pデータ貼り付け!U:U,MATCH(注文書!$A216,W2Pデータ貼り付け!$AM:$AM,0)),"")</f>
        <v/>
      </c>
      <c r="F218" s="28" t="str">
        <f>_xlfn.IFNA(INDEX(W2Pデータ貼り付け!AL:AL,MATCH(注文書!$A216,W2Pデータ貼り付け!$AM:$AM,0)),"")</f>
        <v/>
      </c>
      <c r="G218" s="29"/>
      <c r="H218" s="29"/>
      <c r="I218" s="29"/>
    </row>
    <row r="219" spans="1:9" ht="14.25" customHeight="1" x14ac:dyDescent="0.25">
      <c r="A219" s="216">
        <v>72</v>
      </c>
      <c r="B219" s="22" t="str">
        <f>IFERROR(LEFT(_xlfn.IFNA(INDEX(W2Pデータ貼り付け!B:B,MATCH(注文書!$A219,W2Pデータ貼り付け!$AM:$AM,0)),""),FIND("-",_xlfn.IFNA(INDEX(W2Pデータ貼り付け!B:B,MATCH(注文書!$A219,W2Pデータ貼り付け!$AM:$AM,0)),""))-1),_xlfn.IFNA(INDEX(W2Pデータ貼り付け!B:B,MATCH(注文書!$A219,W2Pデータ貼り付け!$AM:$AM,0)),""))</f>
        <v/>
      </c>
      <c r="C219" s="222" t="str">
        <f>_xlfn.IFNA(DATEVALUE(TEXT(INDEX(W2Pデータ貼り付け!AF:AF,MATCH(注文書!$A219,W2Pデータ貼り付け!$AM:$AM,0)),"0000!/00!/00")),"")</f>
        <v/>
      </c>
      <c r="D219" s="17" t="str">
        <f>_xlfn.IFNA(INDEX(W2Pデータ貼り付け!M:M,MATCH(注文書!$A219,W2Pデータ貼り付け!$AM:$AM,0)),"")</f>
        <v/>
      </c>
      <c r="E219" s="17" t="str">
        <f>_xlfn.IFNA(INDEX(W2Pデータ貼り付け!T:T,MATCH(注文書!$A219,W2Pデータ貼り付け!$AM:$AM,0)),"")</f>
        <v/>
      </c>
      <c r="F219" s="23" t="str" cm="1">
        <f t="array" ref="F219">_xlfn.IFNA(_xlfn.SINGLE(INDEX(CONCATENATE(W2Pデータ貼り付け!V:V,"部"),MATCH(注文書!$A219,W2Pデータ貼り付け!$AM:$AM,0))),"")</f>
        <v/>
      </c>
      <c r="G219" s="24"/>
      <c r="H219" s="24"/>
      <c r="I219" s="24"/>
    </row>
    <row r="220" spans="1:9" ht="14.25" customHeight="1" x14ac:dyDescent="0.25">
      <c r="A220" s="217"/>
      <c r="B220" s="25" t="str">
        <f>IFERROR(MID(_xlfn.IFNA(INDEX(W2Pデータ貼り付け!B:B,MATCH(注文書!$A219,W2Pデータ貼り付け!$AM:$AM,0)),""),FIND("-",_xlfn.IFNA(INDEX(W2Pデータ貼り付け!B:B,MATCH(注文書!$A219,W2Pデータ貼り付け!$AM:$AM,0)),"")),LEN(_xlfn.IFNA(INDEX(W2Pデータ貼り付け!B:B,MATCH(注文書!$A219,W2Pデータ貼り付け!$AM:$AM,0)),""))),"")</f>
        <v/>
      </c>
      <c r="C220" s="223"/>
      <c r="D220" s="18" t="str">
        <f>_xlfn.IFNA(INDEX(W2Pデータ貼り付け!N:N,MATCH(注文書!$A219,W2Pデータ貼り付け!$AM:$AM,0)),"")</f>
        <v/>
      </c>
      <c r="E220" s="18"/>
      <c r="F220" s="26" t="str">
        <f>_xlfn.IFNA(INDEX(W2Pデータ貼り付け!AK:AK,MATCH(注文書!$A219,W2Pデータ貼り付け!$AM:$AM,0)),"")</f>
        <v/>
      </c>
      <c r="G220" s="27"/>
      <c r="H220" s="27"/>
      <c r="I220" s="27"/>
    </row>
    <row r="221" spans="1:9" ht="14.25" customHeight="1" x14ac:dyDescent="0.25">
      <c r="A221" s="218"/>
      <c r="B221" s="36" t="str">
        <f ca="1">IF(B219&lt;&gt;"",TODAY(),"")</f>
        <v/>
      </c>
      <c r="C221" s="224"/>
      <c r="D221" s="19" t="str">
        <f>_xlfn.IFNA(INDEX(W2Pデータ貼り付け!O:O,MATCH(注文書!$A219,W2Pデータ貼り付け!$AM:$AM,0)),"")</f>
        <v/>
      </c>
      <c r="E221" s="19" t="str">
        <f>_xlfn.IFNA(INDEX(W2Pデータ貼り付け!U:U,MATCH(注文書!$A219,W2Pデータ貼り付け!$AM:$AM,0)),"")</f>
        <v/>
      </c>
      <c r="F221" s="28" t="str">
        <f>_xlfn.IFNA(INDEX(W2Pデータ貼り付け!AL:AL,MATCH(注文書!$A219,W2Pデータ貼り付け!$AM:$AM,0)),"")</f>
        <v/>
      </c>
      <c r="G221" s="29"/>
      <c r="H221" s="29"/>
      <c r="I221" s="29"/>
    </row>
    <row r="222" spans="1:9" ht="14.25" customHeight="1" x14ac:dyDescent="0.25">
      <c r="A222" s="216">
        <v>73</v>
      </c>
      <c r="B222" s="22" t="str">
        <f>IFERROR(LEFT(_xlfn.IFNA(INDEX(W2Pデータ貼り付け!B:B,MATCH(注文書!$A222,W2Pデータ貼り付け!$AM:$AM,0)),""),FIND("-",_xlfn.IFNA(INDEX(W2Pデータ貼り付け!B:B,MATCH(注文書!$A222,W2Pデータ貼り付け!$AM:$AM,0)),""))-1),_xlfn.IFNA(INDEX(W2Pデータ貼り付け!B:B,MATCH(注文書!$A222,W2Pデータ貼り付け!$AM:$AM,0)),""))</f>
        <v/>
      </c>
      <c r="C222" s="222" t="str">
        <f>_xlfn.IFNA(DATEVALUE(TEXT(INDEX(W2Pデータ貼り付け!AF:AF,MATCH(注文書!$A222,W2Pデータ貼り付け!$AM:$AM,0)),"0000!/00!/00")),"")</f>
        <v/>
      </c>
      <c r="D222" s="17" t="str">
        <f>_xlfn.IFNA(INDEX(W2Pデータ貼り付け!M:M,MATCH(注文書!$A222,W2Pデータ貼り付け!$AM:$AM,0)),"")</f>
        <v/>
      </c>
      <c r="E222" s="17" t="str">
        <f>_xlfn.IFNA(INDEX(W2Pデータ貼り付け!T:T,MATCH(注文書!$A222,W2Pデータ貼り付け!$AM:$AM,0)),"")</f>
        <v/>
      </c>
      <c r="F222" s="23" t="str" cm="1">
        <f t="array" ref="F222">_xlfn.IFNA(_xlfn.SINGLE(INDEX(CONCATENATE(W2Pデータ貼り付け!V:V,"部"),MATCH(注文書!$A222,W2Pデータ貼り付け!$AM:$AM,0))),"")</f>
        <v/>
      </c>
      <c r="G222" s="24"/>
      <c r="H222" s="24"/>
      <c r="I222" s="24"/>
    </row>
    <row r="223" spans="1:9" ht="14.25" customHeight="1" x14ac:dyDescent="0.25">
      <c r="A223" s="217"/>
      <c r="B223" s="25" t="str">
        <f>IFERROR(MID(_xlfn.IFNA(INDEX(W2Pデータ貼り付け!B:B,MATCH(注文書!$A222,W2Pデータ貼り付け!$AM:$AM,0)),""),FIND("-",_xlfn.IFNA(INDEX(W2Pデータ貼り付け!B:B,MATCH(注文書!$A222,W2Pデータ貼り付け!$AM:$AM,0)),"")),LEN(_xlfn.IFNA(INDEX(W2Pデータ貼り付け!B:B,MATCH(注文書!$A222,W2Pデータ貼り付け!$AM:$AM,0)),""))),"")</f>
        <v/>
      </c>
      <c r="C223" s="223"/>
      <c r="D223" s="18" t="str">
        <f>_xlfn.IFNA(INDEX(W2Pデータ貼り付け!N:N,MATCH(注文書!$A222,W2Pデータ貼り付け!$AM:$AM,0)),"")</f>
        <v/>
      </c>
      <c r="E223" s="18"/>
      <c r="F223" s="26" t="str">
        <f>_xlfn.IFNA(INDEX(W2Pデータ貼り付け!AK:AK,MATCH(注文書!$A222,W2Pデータ貼り付け!$AM:$AM,0)),"")</f>
        <v/>
      </c>
      <c r="G223" s="27"/>
      <c r="H223" s="27"/>
      <c r="I223" s="27"/>
    </row>
    <row r="224" spans="1:9" ht="14.25" customHeight="1" x14ac:dyDescent="0.25">
      <c r="A224" s="218"/>
      <c r="B224" s="36" t="str">
        <f ca="1">IF(B222&lt;&gt;"",TODAY(),"")</f>
        <v/>
      </c>
      <c r="C224" s="224"/>
      <c r="D224" s="19" t="str">
        <f>_xlfn.IFNA(INDEX(W2Pデータ貼り付け!O:O,MATCH(注文書!$A222,W2Pデータ貼り付け!$AM:$AM,0)),"")</f>
        <v/>
      </c>
      <c r="E224" s="19" t="str">
        <f>_xlfn.IFNA(INDEX(W2Pデータ貼り付け!U:U,MATCH(注文書!$A222,W2Pデータ貼り付け!$AM:$AM,0)),"")</f>
        <v/>
      </c>
      <c r="F224" s="28" t="str">
        <f>_xlfn.IFNA(INDEX(W2Pデータ貼り付け!AL:AL,MATCH(注文書!$A222,W2Pデータ貼り付け!$AM:$AM,0)),"")</f>
        <v/>
      </c>
      <c r="G224" s="29"/>
      <c r="H224" s="29"/>
      <c r="I224" s="29"/>
    </row>
    <row r="225" spans="1:9" ht="14.25" customHeight="1" x14ac:dyDescent="0.25">
      <c r="A225" s="216">
        <v>74</v>
      </c>
      <c r="B225" s="22" t="str">
        <f>IFERROR(LEFT(_xlfn.IFNA(INDEX(W2Pデータ貼り付け!B:B,MATCH(注文書!$A225,W2Pデータ貼り付け!$AM:$AM,0)),""),FIND("-",_xlfn.IFNA(INDEX(W2Pデータ貼り付け!B:B,MATCH(注文書!$A225,W2Pデータ貼り付け!$AM:$AM,0)),""))-1),_xlfn.IFNA(INDEX(W2Pデータ貼り付け!B:B,MATCH(注文書!$A225,W2Pデータ貼り付け!$AM:$AM,0)),""))</f>
        <v/>
      </c>
      <c r="C225" s="222" t="str">
        <f>_xlfn.IFNA(DATEVALUE(TEXT(INDEX(W2Pデータ貼り付け!AF:AF,MATCH(注文書!$A225,W2Pデータ貼り付け!$AM:$AM,0)),"0000!/00!/00")),"")</f>
        <v/>
      </c>
      <c r="D225" s="17" t="str">
        <f>_xlfn.IFNA(INDEX(W2Pデータ貼り付け!M:M,MATCH(注文書!$A225,W2Pデータ貼り付け!$AM:$AM,0)),"")</f>
        <v/>
      </c>
      <c r="E225" s="17" t="str">
        <f>_xlfn.IFNA(INDEX(W2Pデータ貼り付け!T:T,MATCH(注文書!$A225,W2Pデータ貼り付け!$AM:$AM,0)),"")</f>
        <v/>
      </c>
      <c r="F225" s="23" t="str" cm="1">
        <f t="array" ref="F225">_xlfn.IFNA(_xlfn.SINGLE(INDEX(CONCATENATE(W2Pデータ貼り付け!V:V,"部"),MATCH(注文書!$A225,W2Pデータ貼り付け!$AM:$AM,0))),"")</f>
        <v/>
      </c>
      <c r="G225" s="24"/>
      <c r="H225" s="24"/>
      <c r="I225" s="24"/>
    </row>
    <row r="226" spans="1:9" ht="14.25" customHeight="1" x14ac:dyDescent="0.25">
      <c r="A226" s="217"/>
      <c r="B226" s="25" t="str">
        <f>IFERROR(MID(_xlfn.IFNA(INDEX(W2Pデータ貼り付け!B:B,MATCH(注文書!$A225,W2Pデータ貼り付け!$AM:$AM,0)),""),FIND("-",_xlfn.IFNA(INDEX(W2Pデータ貼り付け!B:B,MATCH(注文書!$A225,W2Pデータ貼り付け!$AM:$AM,0)),"")),LEN(_xlfn.IFNA(INDEX(W2Pデータ貼り付け!B:B,MATCH(注文書!$A225,W2Pデータ貼り付け!$AM:$AM,0)),""))),"")</f>
        <v/>
      </c>
      <c r="C226" s="223"/>
      <c r="D226" s="18" t="str">
        <f>_xlfn.IFNA(INDEX(W2Pデータ貼り付け!N:N,MATCH(注文書!$A225,W2Pデータ貼り付け!$AM:$AM,0)),"")</f>
        <v/>
      </c>
      <c r="E226" s="18"/>
      <c r="F226" s="26" t="str">
        <f>_xlfn.IFNA(INDEX(W2Pデータ貼り付け!AK:AK,MATCH(注文書!$A225,W2Pデータ貼り付け!$AM:$AM,0)),"")</f>
        <v/>
      </c>
      <c r="G226" s="27"/>
      <c r="H226" s="27"/>
      <c r="I226" s="27"/>
    </row>
    <row r="227" spans="1:9" ht="14.25" customHeight="1" x14ac:dyDescent="0.25">
      <c r="A227" s="218"/>
      <c r="B227" s="36" t="str">
        <f ca="1">IF(B225&lt;&gt;"",TODAY(),"")</f>
        <v/>
      </c>
      <c r="C227" s="224"/>
      <c r="D227" s="19" t="str">
        <f>_xlfn.IFNA(INDEX(W2Pデータ貼り付け!O:O,MATCH(注文書!$A225,W2Pデータ貼り付け!$AM:$AM,0)),"")</f>
        <v/>
      </c>
      <c r="E227" s="19" t="str">
        <f>_xlfn.IFNA(INDEX(W2Pデータ貼り付け!U:U,MATCH(注文書!$A225,W2Pデータ貼り付け!$AM:$AM,0)),"")</f>
        <v/>
      </c>
      <c r="F227" s="28" t="str">
        <f>_xlfn.IFNA(INDEX(W2Pデータ貼り付け!AL:AL,MATCH(注文書!$A225,W2Pデータ貼り付け!$AM:$AM,0)),"")</f>
        <v/>
      </c>
      <c r="G227" s="29"/>
      <c r="H227" s="29"/>
      <c r="I227" s="29"/>
    </row>
    <row r="228" spans="1:9" ht="14.25" customHeight="1" x14ac:dyDescent="0.25">
      <c r="A228" s="216">
        <v>75</v>
      </c>
      <c r="B228" s="22" t="str">
        <f>IFERROR(LEFT(_xlfn.IFNA(INDEX(W2Pデータ貼り付け!B:B,MATCH(注文書!$A228,W2Pデータ貼り付け!$AM:$AM,0)),""),FIND("-",_xlfn.IFNA(INDEX(W2Pデータ貼り付け!B:B,MATCH(注文書!$A228,W2Pデータ貼り付け!$AM:$AM,0)),""))-1),_xlfn.IFNA(INDEX(W2Pデータ貼り付け!B:B,MATCH(注文書!$A228,W2Pデータ貼り付け!$AM:$AM,0)),""))</f>
        <v/>
      </c>
      <c r="C228" s="222" t="str">
        <f>_xlfn.IFNA(DATEVALUE(TEXT(INDEX(W2Pデータ貼り付け!AF:AF,MATCH(注文書!$A228,W2Pデータ貼り付け!$AM:$AM,0)),"0000!/00!/00")),"")</f>
        <v/>
      </c>
      <c r="D228" s="17" t="str">
        <f>_xlfn.IFNA(INDEX(W2Pデータ貼り付け!M:M,MATCH(注文書!$A228,W2Pデータ貼り付け!$AM:$AM,0)),"")</f>
        <v/>
      </c>
      <c r="E228" s="17" t="str">
        <f>_xlfn.IFNA(INDEX(W2Pデータ貼り付け!T:T,MATCH(注文書!$A228,W2Pデータ貼り付け!$AM:$AM,0)),"")</f>
        <v/>
      </c>
      <c r="F228" s="23" t="str" cm="1">
        <f t="array" ref="F228">_xlfn.IFNA(_xlfn.SINGLE(INDEX(CONCATENATE(W2Pデータ貼り付け!V:V,"部"),MATCH(注文書!$A228,W2Pデータ貼り付け!$AM:$AM,0))),"")</f>
        <v/>
      </c>
      <c r="G228" s="24"/>
      <c r="H228" s="24"/>
      <c r="I228" s="24"/>
    </row>
    <row r="229" spans="1:9" ht="14.25" customHeight="1" x14ac:dyDescent="0.25">
      <c r="A229" s="217"/>
      <c r="B229" s="25" t="str">
        <f>IFERROR(MID(_xlfn.IFNA(INDEX(W2Pデータ貼り付け!B:B,MATCH(注文書!$A228,W2Pデータ貼り付け!$AM:$AM,0)),""),FIND("-",_xlfn.IFNA(INDEX(W2Pデータ貼り付け!B:B,MATCH(注文書!$A228,W2Pデータ貼り付け!$AM:$AM,0)),"")),LEN(_xlfn.IFNA(INDEX(W2Pデータ貼り付け!B:B,MATCH(注文書!$A228,W2Pデータ貼り付け!$AM:$AM,0)),""))),"")</f>
        <v/>
      </c>
      <c r="C229" s="223"/>
      <c r="D229" s="18" t="str">
        <f>_xlfn.IFNA(INDEX(W2Pデータ貼り付け!N:N,MATCH(注文書!$A228,W2Pデータ貼り付け!$AM:$AM,0)),"")</f>
        <v/>
      </c>
      <c r="E229" s="18"/>
      <c r="F229" s="26" t="str">
        <f>_xlfn.IFNA(INDEX(W2Pデータ貼り付け!AK:AK,MATCH(注文書!$A228,W2Pデータ貼り付け!$AM:$AM,0)),"")</f>
        <v/>
      </c>
      <c r="G229" s="27"/>
      <c r="H229" s="27"/>
      <c r="I229" s="27"/>
    </row>
    <row r="230" spans="1:9" ht="14.25" customHeight="1" x14ac:dyDescent="0.25">
      <c r="A230" s="218"/>
      <c r="B230" s="36" t="str">
        <f ca="1">IF(B228&lt;&gt;"",TODAY(),"")</f>
        <v/>
      </c>
      <c r="C230" s="224"/>
      <c r="D230" s="19" t="str">
        <f>_xlfn.IFNA(INDEX(W2Pデータ貼り付け!O:O,MATCH(注文書!$A228,W2Pデータ貼り付け!$AM:$AM,0)),"")</f>
        <v/>
      </c>
      <c r="E230" s="19" t="str">
        <f>_xlfn.IFNA(INDEX(W2Pデータ貼り付け!U:U,MATCH(注文書!$A228,W2Pデータ貼り付け!$AM:$AM,0)),"")</f>
        <v/>
      </c>
      <c r="F230" s="28" t="str">
        <f>_xlfn.IFNA(INDEX(W2Pデータ貼り付け!AL:AL,MATCH(注文書!$A228,W2Pデータ貼り付け!$AM:$AM,0)),"")</f>
        <v/>
      </c>
      <c r="G230" s="29"/>
      <c r="H230" s="29"/>
      <c r="I230" s="29"/>
    </row>
    <row r="231" spans="1:9" ht="14.25" customHeight="1" x14ac:dyDescent="0.25">
      <c r="A231" s="216">
        <v>76</v>
      </c>
      <c r="B231" s="22" t="str">
        <f>IFERROR(LEFT(_xlfn.IFNA(INDEX(W2Pデータ貼り付け!B:B,MATCH(注文書!$A231,W2Pデータ貼り付け!$AM:$AM,0)),""),FIND("-",_xlfn.IFNA(INDEX(W2Pデータ貼り付け!B:B,MATCH(注文書!$A231,W2Pデータ貼り付け!$AM:$AM,0)),""))-1),_xlfn.IFNA(INDEX(W2Pデータ貼り付け!B:B,MATCH(注文書!$A231,W2Pデータ貼り付け!$AM:$AM,0)),""))</f>
        <v/>
      </c>
      <c r="C231" s="222" t="str">
        <f>_xlfn.IFNA(DATEVALUE(TEXT(INDEX(W2Pデータ貼り付け!AF:AF,MATCH(注文書!$A231,W2Pデータ貼り付け!$AM:$AM,0)),"0000!/00!/00")),"")</f>
        <v/>
      </c>
      <c r="D231" s="17" t="str">
        <f>_xlfn.IFNA(INDEX(W2Pデータ貼り付け!M:M,MATCH(注文書!$A231,W2Pデータ貼り付け!$AM:$AM,0)),"")</f>
        <v/>
      </c>
      <c r="E231" s="17" t="str">
        <f>_xlfn.IFNA(INDEX(W2Pデータ貼り付け!T:T,MATCH(注文書!$A231,W2Pデータ貼り付け!$AM:$AM,0)),"")</f>
        <v/>
      </c>
      <c r="F231" s="23" t="str" cm="1">
        <f t="array" ref="F231">_xlfn.IFNA(_xlfn.SINGLE(INDEX(CONCATENATE(W2Pデータ貼り付け!V:V,"部"),MATCH(注文書!$A231,W2Pデータ貼り付け!$AM:$AM,0))),"")</f>
        <v/>
      </c>
      <c r="G231" s="24"/>
      <c r="H231" s="24"/>
      <c r="I231" s="24"/>
    </row>
    <row r="232" spans="1:9" ht="14.25" customHeight="1" x14ac:dyDescent="0.25">
      <c r="A232" s="217"/>
      <c r="B232" s="25" t="str">
        <f>IFERROR(MID(_xlfn.IFNA(INDEX(W2Pデータ貼り付け!B:B,MATCH(注文書!$A231,W2Pデータ貼り付け!$AM:$AM,0)),""),FIND("-",_xlfn.IFNA(INDEX(W2Pデータ貼り付け!B:B,MATCH(注文書!$A231,W2Pデータ貼り付け!$AM:$AM,0)),"")),LEN(_xlfn.IFNA(INDEX(W2Pデータ貼り付け!B:B,MATCH(注文書!$A231,W2Pデータ貼り付け!$AM:$AM,0)),""))),"")</f>
        <v/>
      </c>
      <c r="C232" s="223"/>
      <c r="D232" s="18" t="str">
        <f>_xlfn.IFNA(INDEX(W2Pデータ貼り付け!N:N,MATCH(注文書!$A231,W2Pデータ貼り付け!$AM:$AM,0)),"")</f>
        <v/>
      </c>
      <c r="E232" s="18"/>
      <c r="F232" s="26" t="str">
        <f>_xlfn.IFNA(INDEX(W2Pデータ貼り付け!AK:AK,MATCH(注文書!$A231,W2Pデータ貼り付け!$AM:$AM,0)),"")</f>
        <v/>
      </c>
      <c r="G232" s="27"/>
      <c r="H232" s="27"/>
      <c r="I232" s="27"/>
    </row>
    <row r="233" spans="1:9" ht="14.25" customHeight="1" x14ac:dyDescent="0.25">
      <c r="A233" s="218"/>
      <c r="B233" s="36" t="str">
        <f ca="1">IF(B231&lt;&gt;"",TODAY(),"")</f>
        <v/>
      </c>
      <c r="C233" s="224"/>
      <c r="D233" s="19" t="str">
        <f>_xlfn.IFNA(INDEX(W2Pデータ貼り付け!O:O,MATCH(注文書!$A231,W2Pデータ貼り付け!$AM:$AM,0)),"")</f>
        <v/>
      </c>
      <c r="E233" s="19" t="str">
        <f>_xlfn.IFNA(INDEX(W2Pデータ貼り付け!U:U,MATCH(注文書!$A231,W2Pデータ貼り付け!$AM:$AM,0)),"")</f>
        <v/>
      </c>
      <c r="F233" s="28" t="str">
        <f>_xlfn.IFNA(INDEX(W2Pデータ貼り付け!AL:AL,MATCH(注文書!$A231,W2Pデータ貼り付け!$AM:$AM,0)),"")</f>
        <v/>
      </c>
      <c r="G233" s="29"/>
      <c r="H233" s="29"/>
      <c r="I233" s="29"/>
    </row>
    <row r="234" spans="1:9" ht="14.25" customHeight="1" x14ac:dyDescent="0.25">
      <c r="A234" s="216">
        <v>77</v>
      </c>
      <c r="B234" s="22" t="str">
        <f>IFERROR(LEFT(_xlfn.IFNA(INDEX(W2Pデータ貼り付け!B:B,MATCH(注文書!$A234,W2Pデータ貼り付け!$AM:$AM,0)),""),FIND("-",_xlfn.IFNA(INDEX(W2Pデータ貼り付け!B:B,MATCH(注文書!$A234,W2Pデータ貼り付け!$AM:$AM,0)),""))-1),_xlfn.IFNA(INDEX(W2Pデータ貼り付け!B:B,MATCH(注文書!$A234,W2Pデータ貼り付け!$AM:$AM,0)),""))</f>
        <v/>
      </c>
      <c r="C234" s="222" t="str">
        <f>_xlfn.IFNA(DATEVALUE(TEXT(INDEX(W2Pデータ貼り付け!AF:AF,MATCH(注文書!$A234,W2Pデータ貼り付け!$AM:$AM,0)),"0000!/00!/00")),"")</f>
        <v/>
      </c>
      <c r="D234" s="17" t="str">
        <f>_xlfn.IFNA(INDEX(W2Pデータ貼り付け!M:M,MATCH(注文書!$A234,W2Pデータ貼り付け!$AM:$AM,0)),"")</f>
        <v/>
      </c>
      <c r="E234" s="17" t="str">
        <f>_xlfn.IFNA(INDEX(W2Pデータ貼り付け!T:T,MATCH(注文書!$A234,W2Pデータ貼り付け!$AM:$AM,0)),"")</f>
        <v/>
      </c>
      <c r="F234" s="23" t="str" cm="1">
        <f t="array" ref="F234">_xlfn.IFNA(_xlfn.SINGLE(INDEX(CONCATENATE(W2Pデータ貼り付け!V:V,"部"),MATCH(注文書!$A234,W2Pデータ貼り付け!$AM:$AM,0))),"")</f>
        <v/>
      </c>
      <c r="G234" s="24"/>
      <c r="H234" s="24"/>
      <c r="I234" s="24"/>
    </row>
    <row r="235" spans="1:9" ht="14.25" customHeight="1" x14ac:dyDescent="0.25">
      <c r="A235" s="217"/>
      <c r="B235" s="25" t="str">
        <f>IFERROR(MID(_xlfn.IFNA(INDEX(W2Pデータ貼り付け!B:B,MATCH(注文書!$A234,W2Pデータ貼り付け!$AM:$AM,0)),""),FIND("-",_xlfn.IFNA(INDEX(W2Pデータ貼り付け!B:B,MATCH(注文書!$A234,W2Pデータ貼り付け!$AM:$AM,0)),"")),LEN(_xlfn.IFNA(INDEX(W2Pデータ貼り付け!B:B,MATCH(注文書!$A234,W2Pデータ貼り付け!$AM:$AM,0)),""))),"")</f>
        <v/>
      </c>
      <c r="C235" s="223"/>
      <c r="D235" s="18" t="str">
        <f>_xlfn.IFNA(INDEX(W2Pデータ貼り付け!N:N,MATCH(注文書!$A234,W2Pデータ貼り付け!$AM:$AM,0)),"")</f>
        <v/>
      </c>
      <c r="E235" s="18"/>
      <c r="F235" s="26" t="str">
        <f>_xlfn.IFNA(INDEX(W2Pデータ貼り付け!AK:AK,MATCH(注文書!$A234,W2Pデータ貼り付け!$AM:$AM,0)),"")</f>
        <v/>
      </c>
      <c r="G235" s="27"/>
      <c r="H235" s="27"/>
      <c r="I235" s="27"/>
    </row>
    <row r="236" spans="1:9" ht="14.25" customHeight="1" x14ac:dyDescent="0.25">
      <c r="A236" s="218"/>
      <c r="B236" s="36" t="str">
        <f ca="1">IF(B234&lt;&gt;"",TODAY(),"")</f>
        <v/>
      </c>
      <c r="C236" s="224"/>
      <c r="D236" s="19" t="str">
        <f>_xlfn.IFNA(INDEX(W2Pデータ貼り付け!O:O,MATCH(注文書!$A234,W2Pデータ貼り付け!$AM:$AM,0)),"")</f>
        <v/>
      </c>
      <c r="E236" s="19" t="str">
        <f>_xlfn.IFNA(INDEX(W2Pデータ貼り付け!U:U,MATCH(注文書!$A234,W2Pデータ貼り付け!$AM:$AM,0)),"")</f>
        <v/>
      </c>
      <c r="F236" s="28" t="str">
        <f>_xlfn.IFNA(INDEX(W2Pデータ貼り付け!AL:AL,MATCH(注文書!$A234,W2Pデータ貼り付け!$AM:$AM,0)),"")</f>
        <v/>
      </c>
      <c r="G236" s="29"/>
      <c r="H236" s="29"/>
      <c r="I236" s="29"/>
    </row>
    <row r="237" spans="1:9" ht="14.25" customHeight="1" x14ac:dyDescent="0.25">
      <c r="A237" s="216">
        <v>78</v>
      </c>
      <c r="B237" s="22" t="str">
        <f>IFERROR(LEFT(_xlfn.IFNA(INDEX(W2Pデータ貼り付け!B:B,MATCH(注文書!$A237,W2Pデータ貼り付け!$AM:$AM,0)),""),FIND("-",_xlfn.IFNA(INDEX(W2Pデータ貼り付け!B:B,MATCH(注文書!$A237,W2Pデータ貼り付け!$AM:$AM,0)),""))-1),_xlfn.IFNA(INDEX(W2Pデータ貼り付け!B:B,MATCH(注文書!$A237,W2Pデータ貼り付け!$AM:$AM,0)),""))</f>
        <v/>
      </c>
      <c r="C237" s="222" t="str">
        <f>_xlfn.IFNA(DATEVALUE(TEXT(INDEX(W2Pデータ貼り付け!AF:AF,MATCH(注文書!$A237,W2Pデータ貼り付け!$AM:$AM,0)),"0000!/00!/00")),"")</f>
        <v/>
      </c>
      <c r="D237" s="17" t="str">
        <f>_xlfn.IFNA(INDEX(W2Pデータ貼り付け!M:M,MATCH(注文書!$A237,W2Pデータ貼り付け!$AM:$AM,0)),"")</f>
        <v/>
      </c>
      <c r="E237" s="17" t="str">
        <f>_xlfn.IFNA(INDEX(W2Pデータ貼り付け!T:T,MATCH(注文書!$A237,W2Pデータ貼り付け!$AM:$AM,0)),"")</f>
        <v/>
      </c>
      <c r="F237" s="23" t="str" cm="1">
        <f t="array" ref="F237">_xlfn.IFNA(_xlfn.SINGLE(INDEX(CONCATENATE(W2Pデータ貼り付け!V:V,"部"),MATCH(注文書!$A237,W2Pデータ貼り付け!$AM:$AM,0))),"")</f>
        <v/>
      </c>
      <c r="G237" s="24"/>
      <c r="H237" s="24"/>
      <c r="I237" s="24"/>
    </row>
    <row r="238" spans="1:9" ht="14.25" customHeight="1" x14ac:dyDescent="0.25">
      <c r="A238" s="217"/>
      <c r="B238" s="25" t="str">
        <f>IFERROR(MID(_xlfn.IFNA(INDEX(W2Pデータ貼り付け!B:B,MATCH(注文書!$A237,W2Pデータ貼り付け!$AM:$AM,0)),""),FIND("-",_xlfn.IFNA(INDEX(W2Pデータ貼り付け!B:B,MATCH(注文書!$A237,W2Pデータ貼り付け!$AM:$AM,0)),"")),LEN(_xlfn.IFNA(INDEX(W2Pデータ貼り付け!B:B,MATCH(注文書!$A237,W2Pデータ貼り付け!$AM:$AM,0)),""))),"")</f>
        <v/>
      </c>
      <c r="C238" s="223"/>
      <c r="D238" s="18" t="str">
        <f>_xlfn.IFNA(INDEX(W2Pデータ貼り付け!N:N,MATCH(注文書!$A237,W2Pデータ貼り付け!$AM:$AM,0)),"")</f>
        <v/>
      </c>
      <c r="E238" s="18"/>
      <c r="F238" s="26" t="str">
        <f>_xlfn.IFNA(INDEX(W2Pデータ貼り付け!AK:AK,MATCH(注文書!$A237,W2Pデータ貼り付け!$AM:$AM,0)),"")</f>
        <v/>
      </c>
      <c r="G238" s="27"/>
      <c r="H238" s="27"/>
      <c r="I238" s="27"/>
    </row>
    <row r="239" spans="1:9" ht="14.25" customHeight="1" x14ac:dyDescent="0.25">
      <c r="A239" s="218"/>
      <c r="B239" s="36" t="str">
        <f ca="1">IF(B237&lt;&gt;"",TODAY(),"")</f>
        <v/>
      </c>
      <c r="C239" s="224"/>
      <c r="D239" s="19" t="str">
        <f>_xlfn.IFNA(INDEX(W2Pデータ貼り付け!O:O,MATCH(注文書!$A237,W2Pデータ貼り付け!$AM:$AM,0)),"")</f>
        <v/>
      </c>
      <c r="E239" s="19" t="str">
        <f>_xlfn.IFNA(INDEX(W2Pデータ貼り付け!U:U,MATCH(注文書!$A237,W2Pデータ貼り付け!$AM:$AM,0)),"")</f>
        <v/>
      </c>
      <c r="F239" s="28" t="str">
        <f>_xlfn.IFNA(INDEX(W2Pデータ貼り付け!AL:AL,MATCH(注文書!$A237,W2Pデータ貼り付け!$AM:$AM,0)),"")</f>
        <v/>
      </c>
      <c r="G239" s="29"/>
      <c r="H239" s="29"/>
      <c r="I239" s="29"/>
    </row>
    <row r="240" spans="1:9" ht="14.25" customHeight="1" x14ac:dyDescent="0.25">
      <c r="A240" s="216">
        <v>79</v>
      </c>
      <c r="B240" s="22" t="str">
        <f>IFERROR(LEFT(_xlfn.IFNA(INDEX(W2Pデータ貼り付け!B:B,MATCH(注文書!$A240,W2Pデータ貼り付け!$AM:$AM,0)),""),FIND("-",_xlfn.IFNA(INDEX(W2Pデータ貼り付け!B:B,MATCH(注文書!$A240,W2Pデータ貼り付け!$AM:$AM,0)),""))-1),_xlfn.IFNA(INDEX(W2Pデータ貼り付け!B:B,MATCH(注文書!$A240,W2Pデータ貼り付け!$AM:$AM,0)),""))</f>
        <v/>
      </c>
      <c r="C240" s="222" t="str">
        <f>_xlfn.IFNA(DATEVALUE(TEXT(INDEX(W2Pデータ貼り付け!AF:AF,MATCH(注文書!$A240,W2Pデータ貼り付け!$AM:$AM,0)),"0000!/00!/00")),"")</f>
        <v/>
      </c>
      <c r="D240" s="17" t="str">
        <f>_xlfn.IFNA(INDEX(W2Pデータ貼り付け!M:M,MATCH(注文書!$A240,W2Pデータ貼り付け!$AM:$AM,0)),"")</f>
        <v/>
      </c>
      <c r="E240" s="17" t="str">
        <f>_xlfn.IFNA(INDEX(W2Pデータ貼り付け!T:T,MATCH(注文書!$A240,W2Pデータ貼り付け!$AM:$AM,0)),"")</f>
        <v/>
      </c>
      <c r="F240" s="23" t="str" cm="1">
        <f t="array" ref="F240">_xlfn.IFNA(_xlfn.SINGLE(INDEX(CONCATENATE(W2Pデータ貼り付け!V:V,"部"),MATCH(注文書!$A240,W2Pデータ貼り付け!$AM:$AM,0))),"")</f>
        <v/>
      </c>
      <c r="G240" s="24"/>
      <c r="H240" s="24"/>
      <c r="I240" s="24"/>
    </row>
    <row r="241" spans="1:9" ht="14.25" customHeight="1" x14ac:dyDescent="0.25">
      <c r="A241" s="217"/>
      <c r="B241" s="25" t="str">
        <f>IFERROR(MID(_xlfn.IFNA(INDEX(W2Pデータ貼り付け!B:B,MATCH(注文書!$A240,W2Pデータ貼り付け!$AM:$AM,0)),""),FIND("-",_xlfn.IFNA(INDEX(W2Pデータ貼り付け!B:B,MATCH(注文書!$A240,W2Pデータ貼り付け!$AM:$AM,0)),"")),LEN(_xlfn.IFNA(INDEX(W2Pデータ貼り付け!B:B,MATCH(注文書!$A240,W2Pデータ貼り付け!$AM:$AM,0)),""))),"")</f>
        <v/>
      </c>
      <c r="C241" s="223"/>
      <c r="D241" s="18" t="str">
        <f>_xlfn.IFNA(INDEX(W2Pデータ貼り付け!N:N,MATCH(注文書!$A240,W2Pデータ貼り付け!$AM:$AM,0)),"")</f>
        <v/>
      </c>
      <c r="E241" s="18"/>
      <c r="F241" s="26" t="str">
        <f>_xlfn.IFNA(INDEX(W2Pデータ貼り付け!AK:AK,MATCH(注文書!$A240,W2Pデータ貼り付け!$AM:$AM,0)),"")</f>
        <v/>
      </c>
      <c r="G241" s="27"/>
      <c r="H241" s="27"/>
      <c r="I241" s="27"/>
    </row>
    <row r="242" spans="1:9" ht="14.25" customHeight="1" x14ac:dyDescent="0.25">
      <c r="A242" s="218"/>
      <c r="B242" s="36" t="str">
        <f ca="1">IF(B240&lt;&gt;"",TODAY(),"")</f>
        <v/>
      </c>
      <c r="C242" s="224"/>
      <c r="D242" s="19" t="str">
        <f>_xlfn.IFNA(INDEX(W2Pデータ貼り付け!O:O,MATCH(注文書!$A240,W2Pデータ貼り付け!$AM:$AM,0)),"")</f>
        <v/>
      </c>
      <c r="E242" s="19" t="str">
        <f>_xlfn.IFNA(INDEX(W2Pデータ貼り付け!U:U,MATCH(注文書!$A240,W2Pデータ貼り付け!$AM:$AM,0)),"")</f>
        <v/>
      </c>
      <c r="F242" s="28" t="str">
        <f>_xlfn.IFNA(INDEX(W2Pデータ貼り付け!AL:AL,MATCH(注文書!$A240,W2Pデータ貼り付け!$AM:$AM,0)),"")</f>
        <v/>
      </c>
      <c r="G242" s="29"/>
      <c r="H242" s="29"/>
      <c r="I242" s="29"/>
    </row>
    <row r="243" spans="1:9" ht="14.25" customHeight="1" x14ac:dyDescent="0.25">
      <c r="A243" s="216">
        <v>80</v>
      </c>
      <c r="B243" s="22" t="str">
        <f>IFERROR(LEFT(_xlfn.IFNA(INDEX(W2Pデータ貼り付け!B:B,MATCH(注文書!$A243,W2Pデータ貼り付け!$AM:$AM,0)),""),FIND("-",_xlfn.IFNA(INDEX(W2Pデータ貼り付け!B:B,MATCH(注文書!$A243,W2Pデータ貼り付け!$AM:$AM,0)),""))-1),_xlfn.IFNA(INDEX(W2Pデータ貼り付け!B:B,MATCH(注文書!$A243,W2Pデータ貼り付け!$AM:$AM,0)),""))</f>
        <v/>
      </c>
      <c r="C243" s="222" t="str">
        <f>_xlfn.IFNA(DATEVALUE(TEXT(INDEX(W2Pデータ貼り付け!AF:AF,MATCH(注文書!$A243,W2Pデータ貼り付け!$AM:$AM,0)),"0000!/00!/00")),"")</f>
        <v/>
      </c>
      <c r="D243" s="17" t="str">
        <f>_xlfn.IFNA(INDEX(W2Pデータ貼り付け!M:M,MATCH(注文書!$A243,W2Pデータ貼り付け!$AM:$AM,0)),"")</f>
        <v/>
      </c>
      <c r="E243" s="17" t="str">
        <f>_xlfn.IFNA(INDEX(W2Pデータ貼り付け!T:T,MATCH(注文書!$A243,W2Pデータ貼り付け!$AM:$AM,0)),"")</f>
        <v/>
      </c>
      <c r="F243" s="23" t="str" cm="1">
        <f t="array" ref="F243">_xlfn.IFNA(_xlfn.SINGLE(INDEX(CONCATENATE(W2Pデータ貼り付け!V:V,"部"),MATCH(注文書!$A243,W2Pデータ貼り付け!$AM:$AM,0))),"")</f>
        <v/>
      </c>
      <c r="G243" s="24"/>
      <c r="H243" s="24"/>
      <c r="I243" s="24"/>
    </row>
    <row r="244" spans="1:9" ht="14.25" customHeight="1" x14ac:dyDescent="0.25">
      <c r="A244" s="217"/>
      <c r="B244" s="25" t="str">
        <f>IFERROR(MID(_xlfn.IFNA(INDEX(W2Pデータ貼り付け!B:B,MATCH(注文書!$A243,W2Pデータ貼り付け!$AM:$AM,0)),""),FIND("-",_xlfn.IFNA(INDEX(W2Pデータ貼り付け!B:B,MATCH(注文書!$A243,W2Pデータ貼り付け!$AM:$AM,0)),"")),LEN(_xlfn.IFNA(INDEX(W2Pデータ貼り付け!B:B,MATCH(注文書!$A243,W2Pデータ貼り付け!$AM:$AM,0)),""))),"")</f>
        <v/>
      </c>
      <c r="C244" s="223"/>
      <c r="D244" s="18" t="str">
        <f>_xlfn.IFNA(INDEX(W2Pデータ貼り付け!N:N,MATCH(注文書!$A243,W2Pデータ貼り付け!$AM:$AM,0)),"")</f>
        <v/>
      </c>
      <c r="E244" s="18"/>
      <c r="F244" s="26" t="str">
        <f>_xlfn.IFNA(INDEX(W2Pデータ貼り付け!AK:AK,MATCH(注文書!$A243,W2Pデータ貼り付け!$AM:$AM,0)),"")</f>
        <v/>
      </c>
      <c r="G244" s="27"/>
      <c r="H244" s="27"/>
      <c r="I244" s="27"/>
    </row>
    <row r="245" spans="1:9" ht="14.25" customHeight="1" x14ac:dyDescent="0.25">
      <c r="A245" s="218"/>
      <c r="B245" s="36" t="str">
        <f ca="1">IF(B243&lt;&gt;"",TODAY(),"")</f>
        <v/>
      </c>
      <c r="C245" s="224"/>
      <c r="D245" s="19" t="str">
        <f>_xlfn.IFNA(INDEX(W2Pデータ貼り付け!O:O,MATCH(注文書!$A243,W2Pデータ貼り付け!$AM:$AM,0)),"")</f>
        <v/>
      </c>
      <c r="E245" s="19" t="str">
        <f>_xlfn.IFNA(INDEX(W2Pデータ貼り付け!U:U,MATCH(注文書!$A243,W2Pデータ貼り付け!$AM:$AM,0)),"")</f>
        <v/>
      </c>
      <c r="F245" s="28" t="str">
        <f>_xlfn.IFNA(INDEX(W2Pデータ貼り付け!AL:AL,MATCH(注文書!$A243,W2Pデータ貼り付け!$AM:$AM,0)),"")</f>
        <v/>
      </c>
      <c r="G245" s="29"/>
      <c r="H245" s="29"/>
      <c r="I245" s="29"/>
    </row>
    <row r="246" spans="1:9" ht="14.25" customHeight="1" x14ac:dyDescent="0.25">
      <c r="A246" s="216">
        <v>81</v>
      </c>
      <c r="B246" s="22" t="str">
        <f>IFERROR(LEFT(_xlfn.IFNA(INDEX(W2Pデータ貼り付け!B:B,MATCH(注文書!$A246,W2Pデータ貼り付け!$AM:$AM,0)),""),FIND("-",_xlfn.IFNA(INDEX(W2Pデータ貼り付け!B:B,MATCH(注文書!$A246,W2Pデータ貼り付け!$AM:$AM,0)),""))-1),_xlfn.IFNA(INDEX(W2Pデータ貼り付け!B:B,MATCH(注文書!$A246,W2Pデータ貼り付け!$AM:$AM,0)),""))</f>
        <v/>
      </c>
      <c r="C246" s="222" t="str">
        <f>_xlfn.IFNA(DATEVALUE(TEXT(INDEX(W2Pデータ貼り付け!AF:AF,MATCH(注文書!$A246,W2Pデータ貼り付け!$AM:$AM,0)),"0000!/00!/00")),"")</f>
        <v/>
      </c>
      <c r="D246" s="17" t="str">
        <f>_xlfn.IFNA(INDEX(W2Pデータ貼り付け!M:M,MATCH(注文書!$A246,W2Pデータ貼り付け!$AM:$AM,0)),"")</f>
        <v/>
      </c>
      <c r="E246" s="17" t="str">
        <f>_xlfn.IFNA(INDEX(W2Pデータ貼り付け!T:T,MATCH(注文書!$A246,W2Pデータ貼り付け!$AM:$AM,0)),"")</f>
        <v/>
      </c>
      <c r="F246" s="23" t="str" cm="1">
        <f t="array" ref="F246">_xlfn.IFNA(_xlfn.SINGLE(INDEX(CONCATENATE(W2Pデータ貼り付け!V:V,"部"),MATCH(注文書!$A246,W2Pデータ貼り付け!$AM:$AM,0))),"")</f>
        <v/>
      </c>
      <c r="G246" s="24"/>
      <c r="H246" s="24"/>
      <c r="I246" s="24"/>
    </row>
    <row r="247" spans="1:9" ht="14.25" customHeight="1" x14ac:dyDescent="0.25">
      <c r="A247" s="217"/>
      <c r="B247" s="25" t="str">
        <f>IFERROR(MID(_xlfn.IFNA(INDEX(W2Pデータ貼り付け!B:B,MATCH(注文書!$A246,W2Pデータ貼り付け!$AM:$AM,0)),""),FIND("-",_xlfn.IFNA(INDEX(W2Pデータ貼り付け!B:B,MATCH(注文書!$A246,W2Pデータ貼り付け!$AM:$AM,0)),"")),LEN(_xlfn.IFNA(INDEX(W2Pデータ貼り付け!B:B,MATCH(注文書!$A246,W2Pデータ貼り付け!$AM:$AM,0)),""))),"")</f>
        <v/>
      </c>
      <c r="C247" s="223"/>
      <c r="D247" s="18" t="str">
        <f>_xlfn.IFNA(INDEX(W2Pデータ貼り付け!N:N,MATCH(注文書!$A246,W2Pデータ貼り付け!$AM:$AM,0)),"")</f>
        <v/>
      </c>
      <c r="E247" s="18"/>
      <c r="F247" s="26" t="str">
        <f>_xlfn.IFNA(INDEX(W2Pデータ貼り付け!AK:AK,MATCH(注文書!$A246,W2Pデータ貼り付け!$AM:$AM,0)),"")</f>
        <v/>
      </c>
      <c r="G247" s="27"/>
      <c r="H247" s="27"/>
      <c r="I247" s="27"/>
    </row>
    <row r="248" spans="1:9" ht="14.25" customHeight="1" x14ac:dyDescent="0.25">
      <c r="A248" s="218"/>
      <c r="B248" s="36" t="str">
        <f ca="1">IF(B246&lt;&gt;"",TODAY(),"")</f>
        <v/>
      </c>
      <c r="C248" s="224"/>
      <c r="D248" s="19" t="str">
        <f>_xlfn.IFNA(INDEX(W2Pデータ貼り付け!O:O,MATCH(注文書!$A246,W2Pデータ貼り付け!$AM:$AM,0)),"")</f>
        <v/>
      </c>
      <c r="E248" s="19" t="str">
        <f>_xlfn.IFNA(INDEX(W2Pデータ貼り付け!U:U,MATCH(注文書!$A246,W2Pデータ貼り付け!$AM:$AM,0)),"")</f>
        <v/>
      </c>
      <c r="F248" s="28" t="str">
        <f>_xlfn.IFNA(INDEX(W2Pデータ貼り付け!AL:AL,MATCH(注文書!$A246,W2Pデータ貼り付け!$AM:$AM,0)),"")</f>
        <v/>
      </c>
      <c r="G248" s="29"/>
      <c r="H248" s="29"/>
      <c r="I248" s="29"/>
    </row>
    <row r="249" spans="1:9" ht="14.25" customHeight="1" x14ac:dyDescent="0.25">
      <c r="A249" s="216">
        <v>82</v>
      </c>
      <c r="B249" s="22" t="str">
        <f>IFERROR(LEFT(_xlfn.IFNA(INDEX(W2Pデータ貼り付け!B:B,MATCH(注文書!$A249,W2Pデータ貼り付け!$AM:$AM,0)),""),FIND("-",_xlfn.IFNA(INDEX(W2Pデータ貼り付け!B:B,MATCH(注文書!$A249,W2Pデータ貼り付け!$AM:$AM,0)),""))-1),_xlfn.IFNA(INDEX(W2Pデータ貼り付け!B:B,MATCH(注文書!$A249,W2Pデータ貼り付け!$AM:$AM,0)),""))</f>
        <v/>
      </c>
      <c r="C249" s="222" t="str">
        <f>_xlfn.IFNA(DATEVALUE(TEXT(INDEX(W2Pデータ貼り付け!AF:AF,MATCH(注文書!$A249,W2Pデータ貼り付け!$AM:$AM,0)),"0000!/00!/00")),"")</f>
        <v/>
      </c>
      <c r="D249" s="17" t="str">
        <f>_xlfn.IFNA(INDEX(W2Pデータ貼り付け!M:M,MATCH(注文書!$A249,W2Pデータ貼り付け!$AM:$AM,0)),"")</f>
        <v/>
      </c>
      <c r="E249" s="17" t="str">
        <f>_xlfn.IFNA(INDEX(W2Pデータ貼り付け!T:T,MATCH(注文書!$A249,W2Pデータ貼り付け!$AM:$AM,0)),"")</f>
        <v/>
      </c>
      <c r="F249" s="23" t="str" cm="1">
        <f t="array" ref="F249">_xlfn.IFNA(_xlfn.SINGLE(INDEX(CONCATENATE(W2Pデータ貼り付け!V:V,"部"),MATCH(注文書!$A249,W2Pデータ貼り付け!$AM:$AM,0))),"")</f>
        <v/>
      </c>
      <c r="G249" s="24"/>
      <c r="H249" s="24"/>
      <c r="I249" s="24"/>
    </row>
    <row r="250" spans="1:9" ht="14.25" customHeight="1" x14ac:dyDescent="0.25">
      <c r="A250" s="217"/>
      <c r="B250" s="25" t="str">
        <f>IFERROR(MID(_xlfn.IFNA(INDEX(W2Pデータ貼り付け!B:B,MATCH(注文書!$A249,W2Pデータ貼り付け!$AM:$AM,0)),""),FIND("-",_xlfn.IFNA(INDEX(W2Pデータ貼り付け!B:B,MATCH(注文書!$A249,W2Pデータ貼り付け!$AM:$AM,0)),"")),LEN(_xlfn.IFNA(INDEX(W2Pデータ貼り付け!B:B,MATCH(注文書!$A249,W2Pデータ貼り付け!$AM:$AM,0)),""))),"")</f>
        <v/>
      </c>
      <c r="C250" s="223"/>
      <c r="D250" s="18" t="str">
        <f>_xlfn.IFNA(INDEX(W2Pデータ貼り付け!N:N,MATCH(注文書!$A249,W2Pデータ貼り付け!$AM:$AM,0)),"")</f>
        <v/>
      </c>
      <c r="E250" s="18"/>
      <c r="F250" s="26" t="str">
        <f>_xlfn.IFNA(INDEX(W2Pデータ貼り付け!AK:AK,MATCH(注文書!$A249,W2Pデータ貼り付け!$AM:$AM,0)),"")</f>
        <v/>
      </c>
      <c r="G250" s="27"/>
      <c r="H250" s="27"/>
      <c r="I250" s="27"/>
    </row>
    <row r="251" spans="1:9" ht="14.25" customHeight="1" x14ac:dyDescent="0.25">
      <c r="A251" s="218"/>
      <c r="B251" s="36" t="str">
        <f ca="1">IF(B249&lt;&gt;"",TODAY(),"")</f>
        <v/>
      </c>
      <c r="C251" s="224"/>
      <c r="D251" s="19" t="str">
        <f>_xlfn.IFNA(INDEX(W2Pデータ貼り付け!O:O,MATCH(注文書!$A249,W2Pデータ貼り付け!$AM:$AM,0)),"")</f>
        <v/>
      </c>
      <c r="E251" s="19" t="str">
        <f>_xlfn.IFNA(INDEX(W2Pデータ貼り付け!U:U,MATCH(注文書!$A249,W2Pデータ貼り付け!$AM:$AM,0)),"")</f>
        <v/>
      </c>
      <c r="F251" s="28" t="str">
        <f>_xlfn.IFNA(INDEX(W2Pデータ貼り付け!AL:AL,MATCH(注文書!$A249,W2Pデータ貼り付け!$AM:$AM,0)),"")</f>
        <v/>
      </c>
      <c r="G251" s="29"/>
      <c r="H251" s="29"/>
      <c r="I251" s="29"/>
    </row>
    <row r="252" spans="1:9" ht="14.25" customHeight="1" x14ac:dyDescent="0.25">
      <c r="A252" s="216">
        <v>83</v>
      </c>
      <c r="B252" s="22" t="str">
        <f>IFERROR(LEFT(_xlfn.IFNA(INDEX(W2Pデータ貼り付け!B:B,MATCH(注文書!$A252,W2Pデータ貼り付け!$AM:$AM,0)),""),FIND("-",_xlfn.IFNA(INDEX(W2Pデータ貼り付け!B:B,MATCH(注文書!$A252,W2Pデータ貼り付け!$AM:$AM,0)),""))-1),_xlfn.IFNA(INDEX(W2Pデータ貼り付け!B:B,MATCH(注文書!$A252,W2Pデータ貼り付け!$AM:$AM,0)),""))</f>
        <v/>
      </c>
      <c r="C252" s="222" t="str">
        <f>_xlfn.IFNA(DATEVALUE(TEXT(INDEX(W2Pデータ貼り付け!AF:AF,MATCH(注文書!$A252,W2Pデータ貼り付け!$AM:$AM,0)),"0000!/00!/00")),"")</f>
        <v/>
      </c>
      <c r="D252" s="17" t="str">
        <f>_xlfn.IFNA(INDEX(W2Pデータ貼り付け!M:M,MATCH(注文書!$A252,W2Pデータ貼り付け!$AM:$AM,0)),"")</f>
        <v/>
      </c>
      <c r="E252" s="17" t="str">
        <f>_xlfn.IFNA(INDEX(W2Pデータ貼り付け!T:T,MATCH(注文書!$A252,W2Pデータ貼り付け!$AM:$AM,0)),"")</f>
        <v/>
      </c>
      <c r="F252" s="23" t="str" cm="1">
        <f t="array" ref="F252">_xlfn.IFNA(_xlfn.SINGLE(INDEX(CONCATENATE(W2Pデータ貼り付け!V:V,"部"),MATCH(注文書!$A252,W2Pデータ貼り付け!$AM:$AM,0))),"")</f>
        <v/>
      </c>
      <c r="G252" s="24"/>
      <c r="H252" s="24"/>
      <c r="I252" s="24"/>
    </row>
    <row r="253" spans="1:9" ht="14.25" customHeight="1" x14ac:dyDescent="0.25">
      <c r="A253" s="217"/>
      <c r="B253" s="25" t="str">
        <f>IFERROR(MID(_xlfn.IFNA(INDEX(W2Pデータ貼り付け!B:B,MATCH(注文書!$A252,W2Pデータ貼り付け!$AM:$AM,0)),""),FIND("-",_xlfn.IFNA(INDEX(W2Pデータ貼り付け!B:B,MATCH(注文書!$A252,W2Pデータ貼り付け!$AM:$AM,0)),"")),LEN(_xlfn.IFNA(INDEX(W2Pデータ貼り付け!B:B,MATCH(注文書!$A252,W2Pデータ貼り付け!$AM:$AM,0)),""))),"")</f>
        <v/>
      </c>
      <c r="C253" s="223"/>
      <c r="D253" s="18" t="str">
        <f>_xlfn.IFNA(INDEX(W2Pデータ貼り付け!N:N,MATCH(注文書!$A252,W2Pデータ貼り付け!$AM:$AM,0)),"")</f>
        <v/>
      </c>
      <c r="E253" s="18"/>
      <c r="F253" s="26" t="str">
        <f>_xlfn.IFNA(INDEX(W2Pデータ貼り付け!AK:AK,MATCH(注文書!$A252,W2Pデータ貼り付け!$AM:$AM,0)),"")</f>
        <v/>
      </c>
      <c r="G253" s="27"/>
      <c r="H253" s="27"/>
      <c r="I253" s="27"/>
    </row>
    <row r="254" spans="1:9" ht="14.25" customHeight="1" x14ac:dyDescent="0.25">
      <c r="A254" s="218"/>
      <c r="B254" s="36" t="str">
        <f ca="1">IF(B252&lt;&gt;"",TODAY(),"")</f>
        <v/>
      </c>
      <c r="C254" s="224"/>
      <c r="D254" s="19" t="str">
        <f>_xlfn.IFNA(INDEX(W2Pデータ貼り付け!O:O,MATCH(注文書!$A252,W2Pデータ貼り付け!$AM:$AM,0)),"")</f>
        <v/>
      </c>
      <c r="E254" s="19" t="str">
        <f>_xlfn.IFNA(INDEX(W2Pデータ貼り付け!U:U,MATCH(注文書!$A252,W2Pデータ貼り付け!$AM:$AM,0)),"")</f>
        <v/>
      </c>
      <c r="F254" s="28" t="str">
        <f>_xlfn.IFNA(INDEX(W2Pデータ貼り付け!AL:AL,MATCH(注文書!$A252,W2Pデータ貼り付け!$AM:$AM,0)),"")</f>
        <v/>
      </c>
      <c r="G254" s="29"/>
      <c r="H254" s="29"/>
      <c r="I254" s="29"/>
    </row>
    <row r="255" spans="1:9" ht="14.25" customHeight="1" x14ac:dyDescent="0.25">
      <c r="A255" s="216">
        <v>84</v>
      </c>
      <c r="B255" s="22" t="str">
        <f>IFERROR(LEFT(_xlfn.IFNA(INDEX(W2Pデータ貼り付け!B:B,MATCH(注文書!$A255,W2Pデータ貼り付け!$AM:$AM,0)),""),FIND("-",_xlfn.IFNA(INDEX(W2Pデータ貼り付け!B:B,MATCH(注文書!$A255,W2Pデータ貼り付け!$AM:$AM,0)),""))-1),_xlfn.IFNA(INDEX(W2Pデータ貼り付け!B:B,MATCH(注文書!$A255,W2Pデータ貼り付け!$AM:$AM,0)),""))</f>
        <v/>
      </c>
      <c r="C255" s="222" t="str">
        <f>_xlfn.IFNA(DATEVALUE(TEXT(INDEX(W2Pデータ貼り付け!AF:AF,MATCH(注文書!$A255,W2Pデータ貼り付け!$AM:$AM,0)),"0000!/00!/00")),"")</f>
        <v/>
      </c>
      <c r="D255" s="17" t="str">
        <f>_xlfn.IFNA(INDEX(W2Pデータ貼り付け!M:M,MATCH(注文書!$A255,W2Pデータ貼り付け!$AM:$AM,0)),"")</f>
        <v/>
      </c>
      <c r="E255" s="17" t="str">
        <f>_xlfn.IFNA(INDEX(W2Pデータ貼り付け!T:T,MATCH(注文書!$A255,W2Pデータ貼り付け!$AM:$AM,0)),"")</f>
        <v/>
      </c>
      <c r="F255" s="23" t="str" cm="1">
        <f t="array" ref="F255">_xlfn.IFNA(_xlfn.SINGLE(INDEX(CONCATENATE(W2Pデータ貼り付け!V:V,"部"),MATCH(注文書!$A255,W2Pデータ貼り付け!$AM:$AM,0))),"")</f>
        <v/>
      </c>
      <c r="G255" s="24"/>
      <c r="H255" s="24"/>
      <c r="I255" s="24"/>
    </row>
    <row r="256" spans="1:9" ht="14.25" customHeight="1" x14ac:dyDescent="0.25">
      <c r="A256" s="217"/>
      <c r="B256" s="25" t="str">
        <f>IFERROR(MID(_xlfn.IFNA(INDEX(W2Pデータ貼り付け!B:B,MATCH(注文書!$A255,W2Pデータ貼り付け!$AM:$AM,0)),""),FIND("-",_xlfn.IFNA(INDEX(W2Pデータ貼り付け!B:B,MATCH(注文書!$A255,W2Pデータ貼り付け!$AM:$AM,0)),"")),LEN(_xlfn.IFNA(INDEX(W2Pデータ貼り付け!B:B,MATCH(注文書!$A255,W2Pデータ貼り付け!$AM:$AM,0)),""))),"")</f>
        <v/>
      </c>
      <c r="C256" s="223"/>
      <c r="D256" s="18" t="str">
        <f>_xlfn.IFNA(INDEX(W2Pデータ貼り付け!N:N,MATCH(注文書!$A255,W2Pデータ貼り付け!$AM:$AM,0)),"")</f>
        <v/>
      </c>
      <c r="E256" s="18"/>
      <c r="F256" s="26" t="str">
        <f>_xlfn.IFNA(INDEX(W2Pデータ貼り付け!AK:AK,MATCH(注文書!$A255,W2Pデータ貼り付け!$AM:$AM,0)),"")</f>
        <v/>
      </c>
      <c r="G256" s="27"/>
      <c r="H256" s="27"/>
      <c r="I256" s="27"/>
    </row>
    <row r="257" spans="1:9" ht="14.25" customHeight="1" x14ac:dyDescent="0.25">
      <c r="A257" s="218"/>
      <c r="B257" s="36" t="str">
        <f ca="1">IF(B255&lt;&gt;"",TODAY(),"")</f>
        <v/>
      </c>
      <c r="C257" s="224"/>
      <c r="D257" s="19" t="str">
        <f>_xlfn.IFNA(INDEX(W2Pデータ貼り付け!O:O,MATCH(注文書!$A255,W2Pデータ貼り付け!$AM:$AM,0)),"")</f>
        <v/>
      </c>
      <c r="E257" s="19" t="str">
        <f>_xlfn.IFNA(INDEX(W2Pデータ貼り付け!U:U,MATCH(注文書!$A255,W2Pデータ貼り付け!$AM:$AM,0)),"")</f>
        <v/>
      </c>
      <c r="F257" s="28" t="str">
        <f>_xlfn.IFNA(INDEX(W2Pデータ貼り付け!AL:AL,MATCH(注文書!$A255,W2Pデータ貼り付け!$AM:$AM,0)),"")</f>
        <v/>
      </c>
      <c r="G257" s="29"/>
      <c r="H257" s="29"/>
      <c r="I257" s="29"/>
    </row>
    <row r="258" spans="1:9" ht="14.25" customHeight="1" x14ac:dyDescent="0.25">
      <c r="A258" s="216">
        <v>85</v>
      </c>
      <c r="B258" s="22" t="str">
        <f>IFERROR(LEFT(_xlfn.IFNA(INDEX(W2Pデータ貼り付け!B:B,MATCH(注文書!$A258,W2Pデータ貼り付け!$AM:$AM,0)),""),FIND("-",_xlfn.IFNA(INDEX(W2Pデータ貼り付け!B:B,MATCH(注文書!$A258,W2Pデータ貼り付け!$AM:$AM,0)),""))-1),_xlfn.IFNA(INDEX(W2Pデータ貼り付け!B:B,MATCH(注文書!$A258,W2Pデータ貼り付け!$AM:$AM,0)),""))</f>
        <v/>
      </c>
      <c r="C258" s="222" t="str">
        <f>_xlfn.IFNA(DATEVALUE(TEXT(INDEX(W2Pデータ貼り付け!AF:AF,MATCH(注文書!$A258,W2Pデータ貼り付け!$AM:$AM,0)),"0000!/00!/00")),"")</f>
        <v/>
      </c>
      <c r="D258" s="17" t="str">
        <f>_xlfn.IFNA(INDEX(W2Pデータ貼り付け!M:M,MATCH(注文書!$A258,W2Pデータ貼り付け!$AM:$AM,0)),"")</f>
        <v/>
      </c>
      <c r="E258" s="17" t="str">
        <f>_xlfn.IFNA(INDEX(W2Pデータ貼り付け!T:T,MATCH(注文書!$A258,W2Pデータ貼り付け!$AM:$AM,0)),"")</f>
        <v/>
      </c>
      <c r="F258" s="23" t="str" cm="1">
        <f t="array" ref="F258">_xlfn.IFNA(_xlfn.SINGLE(INDEX(CONCATENATE(W2Pデータ貼り付け!V:V,"部"),MATCH(注文書!$A258,W2Pデータ貼り付け!$AM:$AM,0))),"")</f>
        <v/>
      </c>
      <c r="G258" s="24"/>
      <c r="H258" s="24"/>
      <c r="I258" s="24"/>
    </row>
    <row r="259" spans="1:9" ht="14.25" customHeight="1" x14ac:dyDescent="0.25">
      <c r="A259" s="217"/>
      <c r="B259" s="25" t="str">
        <f>IFERROR(MID(_xlfn.IFNA(INDEX(W2Pデータ貼り付け!B:B,MATCH(注文書!$A258,W2Pデータ貼り付け!$AM:$AM,0)),""),FIND("-",_xlfn.IFNA(INDEX(W2Pデータ貼り付け!B:B,MATCH(注文書!$A258,W2Pデータ貼り付け!$AM:$AM,0)),"")),LEN(_xlfn.IFNA(INDEX(W2Pデータ貼り付け!B:B,MATCH(注文書!$A258,W2Pデータ貼り付け!$AM:$AM,0)),""))),"")</f>
        <v/>
      </c>
      <c r="C259" s="223"/>
      <c r="D259" s="18" t="str">
        <f>_xlfn.IFNA(INDEX(W2Pデータ貼り付け!N:N,MATCH(注文書!$A258,W2Pデータ貼り付け!$AM:$AM,0)),"")</f>
        <v/>
      </c>
      <c r="E259" s="18"/>
      <c r="F259" s="26" t="str">
        <f>_xlfn.IFNA(INDEX(W2Pデータ貼り付け!AK:AK,MATCH(注文書!$A258,W2Pデータ貼り付け!$AM:$AM,0)),"")</f>
        <v/>
      </c>
      <c r="G259" s="27"/>
      <c r="H259" s="27"/>
      <c r="I259" s="27"/>
    </row>
    <row r="260" spans="1:9" ht="14.25" customHeight="1" x14ac:dyDescent="0.25">
      <c r="A260" s="218"/>
      <c r="B260" s="36" t="str">
        <f ca="1">IF(B258&lt;&gt;"",TODAY(),"")</f>
        <v/>
      </c>
      <c r="C260" s="224"/>
      <c r="D260" s="19" t="str">
        <f>_xlfn.IFNA(INDEX(W2Pデータ貼り付け!O:O,MATCH(注文書!$A258,W2Pデータ貼り付け!$AM:$AM,0)),"")</f>
        <v/>
      </c>
      <c r="E260" s="19" t="str">
        <f>_xlfn.IFNA(INDEX(W2Pデータ貼り付け!U:U,MATCH(注文書!$A258,W2Pデータ貼り付け!$AM:$AM,0)),"")</f>
        <v/>
      </c>
      <c r="F260" s="28" t="str">
        <f>_xlfn.IFNA(INDEX(W2Pデータ貼り付け!AL:AL,MATCH(注文書!$A258,W2Pデータ貼り付け!$AM:$AM,0)),"")</f>
        <v/>
      </c>
      <c r="G260" s="29"/>
      <c r="H260" s="29"/>
      <c r="I260" s="29"/>
    </row>
    <row r="261" spans="1:9" ht="14.25" customHeight="1" x14ac:dyDescent="0.25">
      <c r="A261" s="216">
        <v>86</v>
      </c>
      <c r="B261" s="22" t="str">
        <f>IFERROR(LEFT(_xlfn.IFNA(INDEX(W2Pデータ貼り付け!B:B,MATCH(注文書!$A261,W2Pデータ貼り付け!$AM:$AM,0)),""),FIND("-",_xlfn.IFNA(INDEX(W2Pデータ貼り付け!B:B,MATCH(注文書!$A261,W2Pデータ貼り付け!$AM:$AM,0)),""))-1),_xlfn.IFNA(INDEX(W2Pデータ貼り付け!B:B,MATCH(注文書!$A261,W2Pデータ貼り付け!$AM:$AM,0)),""))</f>
        <v/>
      </c>
      <c r="C261" s="222" t="str">
        <f>_xlfn.IFNA(DATEVALUE(TEXT(INDEX(W2Pデータ貼り付け!AF:AF,MATCH(注文書!$A261,W2Pデータ貼り付け!$AM:$AM,0)),"0000!/00!/00")),"")</f>
        <v/>
      </c>
      <c r="D261" s="17" t="str">
        <f>_xlfn.IFNA(INDEX(W2Pデータ貼り付け!M:M,MATCH(注文書!$A261,W2Pデータ貼り付け!$AM:$AM,0)),"")</f>
        <v/>
      </c>
      <c r="E261" s="17" t="str">
        <f>_xlfn.IFNA(INDEX(W2Pデータ貼り付け!T:T,MATCH(注文書!$A261,W2Pデータ貼り付け!$AM:$AM,0)),"")</f>
        <v/>
      </c>
      <c r="F261" s="23" t="str" cm="1">
        <f t="array" ref="F261">_xlfn.IFNA(_xlfn.SINGLE(INDEX(CONCATENATE(W2Pデータ貼り付け!V:V,"部"),MATCH(注文書!$A261,W2Pデータ貼り付け!$AM:$AM,0))),"")</f>
        <v/>
      </c>
      <c r="G261" s="24"/>
      <c r="H261" s="24"/>
      <c r="I261" s="24"/>
    </row>
    <row r="262" spans="1:9" ht="14.25" customHeight="1" x14ac:dyDescent="0.25">
      <c r="A262" s="217"/>
      <c r="B262" s="25" t="str">
        <f>IFERROR(MID(_xlfn.IFNA(INDEX(W2Pデータ貼り付け!B:B,MATCH(注文書!$A261,W2Pデータ貼り付け!$AM:$AM,0)),""),FIND("-",_xlfn.IFNA(INDEX(W2Pデータ貼り付け!B:B,MATCH(注文書!$A261,W2Pデータ貼り付け!$AM:$AM,0)),"")),LEN(_xlfn.IFNA(INDEX(W2Pデータ貼り付け!B:B,MATCH(注文書!$A261,W2Pデータ貼り付け!$AM:$AM,0)),""))),"")</f>
        <v/>
      </c>
      <c r="C262" s="223"/>
      <c r="D262" s="18" t="str">
        <f>_xlfn.IFNA(INDEX(W2Pデータ貼り付け!N:N,MATCH(注文書!$A261,W2Pデータ貼り付け!$AM:$AM,0)),"")</f>
        <v/>
      </c>
      <c r="E262" s="18"/>
      <c r="F262" s="26" t="str">
        <f>_xlfn.IFNA(INDEX(W2Pデータ貼り付け!AK:AK,MATCH(注文書!$A261,W2Pデータ貼り付け!$AM:$AM,0)),"")</f>
        <v/>
      </c>
      <c r="G262" s="27"/>
      <c r="H262" s="27"/>
      <c r="I262" s="27"/>
    </row>
    <row r="263" spans="1:9" ht="14.25" customHeight="1" x14ac:dyDescent="0.25">
      <c r="A263" s="218"/>
      <c r="B263" s="36" t="str">
        <f ca="1">IF(B261&lt;&gt;"",TODAY(),"")</f>
        <v/>
      </c>
      <c r="C263" s="224"/>
      <c r="D263" s="19" t="str">
        <f>_xlfn.IFNA(INDEX(W2Pデータ貼り付け!O:O,MATCH(注文書!$A261,W2Pデータ貼り付け!$AM:$AM,0)),"")</f>
        <v/>
      </c>
      <c r="E263" s="19" t="str">
        <f>_xlfn.IFNA(INDEX(W2Pデータ貼り付け!U:U,MATCH(注文書!$A261,W2Pデータ貼り付け!$AM:$AM,0)),"")</f>
        <v/>
      </c>
      <c r="F263" s="28" t="str">
        <f>_xlfn.IFNA(INDEX(W2Pデータ貼り付け!AL:AL,MATCH(注文書!$A261,W2Pデータ貼り付け!$AM:$AM,0)),"")</f>
        <v/>
      </c>
      <c r="G263" s="29"/>
      <c r="H263" s="29"/>
      <c r="I263" s="29"/>
    </row>
    <row r="264" spans="1:9" ht="14.25" customHeight="1" x14ac:dyDescent="0.25">
      <c r="A264" s="216">
        <v>87</v>
      </c>
      <c r="B264" s="22" t="str">
        <f>IFERROR(LEFT(_xlfn.IFNA(INDEX(W2Pデータ貼り付け!B:B,MATCH(注文書!$A264,W2Pデータ貼り付け!$AM:$AM,0)),""),FIND("-",_xlfn.IFNA(INDEX(W2Pデータ貼り付け!B:B,MATCH(注文書!$A264,W2Pデータ貼り付け!$AM:$AM,0)),""))-1),_xlfn.IFNA(INDEX(W2Pデータ貼り付け!B:B,MATCH(注文書!$A264,W2Pデータ貼り付け!$AM:$AM,0)),""))</f>
        <v/>
      </c>
      <c r="C264" s="222" t="str">
        <f>_xlfn.IFNA(DATEVALUE(TEXT(INDEX(W2Pデータ貼り付け!AF:AF,MATCH(注文書!$A264,W2Pデータ貼り付け!$AM:$AM,0)),"0000!/00!/00")),"")</f>
        <v/>
      </c>
      <c r="D264" s="17" t="str">
        <f>_xlfn.IFNA(INDEX(W2Pデータ貼り付け!M:M,MATCH(注文書!$A264,W2Pデータ貼り付け!$AM:$AM,0)),"")</f>
        <v/>
      </c>
      <c r="E264" s="17" t="str">
        <f>_xlfn.IFNA(INDEX(W2Pデータ貼り付け!T:T,MATCH(注文書!$A264,W2Pデータ貼り付け!$AM:$AM,0)),"")</f>
        <v/>
      </c>
      <c r="F264" s="23" t="str" cm="1">
        <f t="array" ref="F264">_xlfn.IFNA(_xlfn.SINGLE(INDEX(CONCATENATE(W2Pデータ貼り付け!V:V,"部"),MATCH(注文書!$A264,W2Pデータ貼り付け!$AM:$AM,0))),"")</f>
        <v/>
      </c>
      <c r="G264" s="24"/>
      <c r="H264" s="24"/>
      <c r="I264" s="24"/>
    </row>
    <row r="265" spans="1:9" ht="14.25" customHeight="1" x14ac:dyDescent="0.25">
      <c r="A265" s="217"/>
      <c r="B265" s="25" t="str">
        <f>IFERROR(MID(_xlfn.IFNA(INDEX(W2Pデータ貼り付け!B:B,MATCH(注文書!$A264,W2Pデータ貼り付け!$AM:$AM,0)),""),FIND("-",_xlfn.IFNA(INDEX(W2Pデータ貼り付け!B:B,MATCH(注文書!$A264,W2Pデータ貼り付け!$AM:$AM,0)),"")),LEN(_xlfn.IFNA(INDEX(W2Pデータ貼り付け!B:B,MATCH(注文書!$A264,W2Pデータ貼り付け!$AM:$AM,0)),""))),"")</f>
        <v/>
      </c>
      <c r="C265" s="223"/>
      <c r="D265" s="18" t="str">
        <f>_xlfn.IFNA(INDEX(W2Pデータ貼り付け!N:N,MATCH(注文書!$A264,W2Pデータ貼り付け!$AM:$AM,0)),"")</f>
        <v/>
      </c>
      <c r="E265" s="18"/>
      <c r="F265" s="26" t="str">
        <f>_xlfn.IFNA(INDEX(W2Pデータ貼り付け!AK:AK,MATCH(注文書!$A264,W2Pデータ貼り付け!$AM:$AM,0)),"")</f>
        <v/>
      </c>
      <c r="G265" s="27"/>
      <c r="H265" s="27"/>
      <c r="I265" s="27"/>
    </row>
    <row r="266" spans="1:9" ht="14.25" customHeight="1" x14ac:dyDescent="0.25">
      <c r="A266" s="218"/>
      <c r="B266" s="36" t="str">
        <f ca="1">IF(B264&lt;&gt;"",TODAY(),"")</f>
        <v/>
      </c>
      <c r="C266" s="224"/>
      <c r="D266" s="19" t="str">
        <f>_xlfn.IFNA(INDEX(W2Pデータ貼り付け!O:O,MATCH(注文書!$A264,W2Pデータ貼り付け!$AM:$AM,0)),"")</f>
        <v/>
      </c>
      <c r="E266" s="19" t="str">
        <f>_xlfn.IFNA(INDEX(W2Pデータ貼り付け!U:U,MATCH(注文書!$A264,W2Pデータ貼り付け!$AM:$AM,0)),"")</f>
        <v/>
      </c>
      <c r="F266" s="28" t="str">
        <f>_xlfn.IFNA(INDEX(W2Pデータ貼り付け!AL:AL,MATCH(注文書!$A264,W2Pデータ貼り付け!$AM:$AM,0)),"")</f>
        <v/>
      </c>
      <c r="G266" s="29"/>
      <c r="H266" s="29"/>
      <c r="I266" s="29"/>
    </row>
    <row r="267" spans="1:9" ht="14.25" customHeight="1" x14ac:dyDescent="0.25">
      <c r="A267" s="216">
        <v>88</v>
      </c>
      <c r="B267" s="22" t="str">
        <f>IFERROR(LEFT(_xlfn.IFNA(INDEX(W2Pデータ貼り付け!B:B,MATCH(注文書!$A267,W2Pデータ貼り付け!$AM:$AM,0)),""),FIND("-",_xlfn.IFNA(INDEX(W2Pデータ貼り付け!B:B,MATCH(注文書!$A267,W2Pデータ貼り付け!$AM:$AM,0)),""))-1),_xlfn.IFNA(INDEX(W2Pデータ貼り付け!B:B,MATCH(注文書!$A267,W2Pデータ貼り付け!$AM:$AM,0)),""))</f>
        <v/>
      </c>
      <c r="C267" s="222" t="str">
        <f>_xlfn.IFNA(DATEVALUE(TEXT(INDEX(W2Pデータ貼り付け!AF:AF,MATCH(注文書!$A267,W2Pデータ貼り付け!$AM:$AM,0)),"0000!/00!/00")),"")</f>
        <v/>
      </c>
      <c r="D267" s="17" t="str">
        <f>_xlfn.IFNA(INDEX(W2Pデータ貼り付け!M:M,MATCH(注文書!$A267,W2Pデータ貼り付け!$AM:$AM,0)),"")</f>
        <v/>
      </c>
      <c r="E267" s="17" t="str">
        <f>_xlfn.IFNA(INDEX(W2Pデータ貼り付け!T:T,MATCH(注文書!$A267,W2Pデータ貼り付け!$AM:$AM,0)),"")</f>
        <v/>
      </c>
      <c r="F267" s="23" t="str" cm="1">
        <f t="array" ref="F267">_xlfn.IFNA(_xlfn.SINGLE(INDEX(CONCATENATE(W2Pデータ貼り付け!V:V,"部"),MATCH(注文書!$A267,W2Pデータ貼り付け!$AM:$AM,0))),"")</f>
        <v/>
      </c>
      <c r="G267" s="24"/>
      <c r="H267" s="24"/>
      <c r="I267" s="24"/>
    </row>
    <row r="268" spans="1:9" ht="14.25" customHeight="1" x14ac:dyDescent="0.25">
      <c r="A268" s="217"/>
      <c r="B268" s="25" t="str">
        <f>IFERROR(MID(_xlfn.IFNA(INDEX(W2Pデータ貼り付け!B:B,MATCH(注文書!$A267,W2Pデータ貼り付け!$AM:$AM,0)),""),FIND("-",_xlfn.IFNA(INDEX(W2Pデータ貼り付け!B:B,MATCH(注文書!$A267,W2Pデータ貼り付け!$AM:$AM,0)),"")),LEN(_xlfn.IFNA(INDEX(W2Pデータ貼り付け!B:B,MATCH(注文書!$A267,W2Pデータ貼り付け!$AM:$AM,0)),""))),"")</f>
        <v/>
      </c>
      <c r="C268" s="223"/>
      <c r="D268" s="18" t="str">
        <f>_xlfn.IFNA(INDEX(W2Pデータ貼り付け!N:N,MATCH(注文書!$A267,W2Pデータ貼り付け!$AM:$AM,0)),"")</f>
        <v/>
      </c>
      <c r="E268" s="18"/>
      <c r="F268" s="26" t="str">
        <f>_xlfn.IFNA(INDEX(W2Pデータ貼り付け!AK:AK,MATCH(注文書!$A267,W2Pデータ貼り付け!$AM:$AM,0)),"")</f>
        <v/>
      </c>
      <c r="G268" s="27"/>
      <c r="H268" s="27"/>
      <c r="I268" s="27"/>
    </row>
    <row r="269" spans="1:9" ht="14.25" customHeight="1" x14ac:dyDescent="0.25">
      <c r="A269" s="218"/>
      <c r="B269" s="36" t="str">
        <f ca="1">IF(B267&lt;&gt;"",TODAY(),"")</f>
        <v/>
      </c>
      <c r="C269" s="224"/>
      <c r="D269" s="19" t="str">
        <f>_xlfn.IFNA(INDEX(W2Pデータ貼り付け!O:O,MATCH(注文書!$A267,W2Pデータ貼り付け!$AM:$AM,0)),"")</f>
        <v/>
      </c>
      <c r="E269" s="19" t="str">
        <f>_xlfn.IFNA(INDEX(W2Pデータ貼り付け!U:U,MATCH(注文書!$A267,W2Pデータ貼り付け!$AM:$AM,0)),"")</f>
        <v/>
      </c>
      <c r="F269" s="28" t="str">
        <f>_xlfn.IFNA(INDEX(W2Pデータ貼り付け!AL:AL,MATCH(注文書!$A267,W2Pデータ貼り付け!$AM:$AM,0)),"")</f>
        <v/>
      </c>
      <c r="G269" s="29"/>
      <c r="H269" s="29"/>
      <c r="I269" s="29"/>
    </row>
    <row r="270" spans="1:9" ht="14.25" customHeight="1" x14ac:dyDescent="0.25">
      <c r="A270" s="216">
        <v>89</v>
      </c>
      <c r="B270" s="22" t="str">
        <f>IFERROR(LEFT(_xlfn.IFNA(INDEX(W2Pデータ貼り付け!B:B,MATCH(注文書!$A270,W2Pデータ貼り付け!$AM:$AM,0)),""),FIND("-",_xlfn.IFNA(INDEX(W2Pデータ貼り付け!B:B,MATCH(注文書!$A270,W2Pデータ貼り付け!$AM:$AM,0)),""))-1),_xlfn.IFNA(INDEX(W2Pデータ貼り付け!B:B,MATCH(注文書!$A270,W2Pデータ貼り付け!$AM:$AM,0)),""))</f>
        <v/>
      </c>
      <c r="C270" s="222" t="str">
        <f>_xlfn.IFNA(DATEVALUE(TEXT(INDEX(W2Pデータ貼り付け!AF:AF,MATCH(注文書!$A270,W2Pデータ貼り付け!$AM:$AM,0)),"0000!/00!/00")),"")</f>
        <v/>
      </c>
      <c r="D270" s="17" t="str">
        <f>_xlfn.IFNA(INDEX(W2Pデータ貼り付け!M:M,MATCH(注文書!$A270,W2Pデータ貼り付け!$AM:$AM,0)),"")</f>
        <v/>
      </c>
      <c r="E270" s="17" t="str">
        <f>_xlfn.IFNA(INDEX(W2Pデータ貼り付け!T:T,MATCH(注文書!$A270,W2Pデータ貼り付け!$AM:$AM,0)),"")</f>
        <v/>
      </c>
      <c r="F270" s="23" t="str" cm="1">
        <f t="array" ref="F270">_xlfn.IFNA(_xlfn.SINGLE(INDEX(CONCATENATE(W2Pデータ貼り付け!V:V,"部"),MATCH(注文書!$A270,W2Pデータ貼り付け!$AM:$AM,0))),"")</f>
        <v/>
      </c>
      <c r="G270" s="24"/>
      <c r="H270" s="24"/>
      <c r="I270" s="24"/>
    </row>
    <row r="271" spans="1:9" ht="14.25" customHeight="1" x14ac:dyDescent="0.25">
      <c r="A271" s="217"/>
      <c r="B271" s="25" t="str">
        <f>IFERROR(MID(_xlfn.IFNA(INDEX(W2Pデータ貼り付け!B:B,MATCH(注文書!$A270,W2Pデータ貼り付け!$AM:$AM,0)),""),FIND("-",_xlfn.IFNA(INDEX(W2Pデータ貼り付け!B:B,MATCH(注文書!$A270,W2Pデータ貼り付け!$AM:$AM,0)),"")),LEN(_xlfn.IFNA(INDEX(W2Pデータ貼り付け!B:B,MATCH(注文書!$A270,W2Pデータ貼り付け!$AM:$AM,0)),""))),"")</f>
        <v/>
      </c>
      <c r="C271" s="223"/>
      <c r="D271" s="18" t="str">
        <f>_xlfn.IFNA(INDEX(W2Pデータ貼り付け!N:N,MATCH(注文書!$A270,W2Pデータ貼り付け!$AM:$AM,0)),"")</f>
        <v/>
      </c>
      <c r="E271" s="18"/>
      <c r="F271" s="26" t="str">
        <f>_xlfn.IFNA(INDEX(W2Pデータ貼り付け!AK:AK,MATCH(注文書!$A270,W2Pデータ貼り付け!$AM:$AM,0)),"")</f>
        <v/>
      </c>
      <c r="G271" s="27"/>
      <c r="H271" s="27"/>
      <c r="I271" s="27"/>
    </row>
    <row r="272" spans="1:9" ht="14.25" customHeight="1" x14ac:dyDescent="0.25">
      <c r="A272" s="218"/>
      <c r="B272" s="36" t="str">
        <f ca="1">IF(B270&lt;&gt;"",TODAY(),"")</f>
        <v/>
      </c>
      <c r="C272" s="224"/>
      <c r="D272" s="19" t="str">
        <f>_xlfn.IFNA(INDEX(W2Pデータ貼り付け!O:O,MATCH(注文書!$A270,W2Pデータ貼り付け!$AM:$AM,0)),"")</f>
        <v/>
      </c>
      <c r="E272" s="19" t="str">
        <f>_xlfn.IFNA(INDEX(W2Pデータ貼り付け!U:U,MATCH(注文書!$A270,W2Pデータ貼り付け!$AM:$AM,0)),"")</f>
        <v/>
      </c>
      <c r="F272" s="28" t="str">
        <f>_xlfn.IFNA(INDEX(W2Pデータ貼り付け!AL:AL,MATCH(注文書!$A270,W2Pデータ貼り付け!$AM:$AM,0)),"")</f>
        <v/>
      </c>
      <c r="G272" s="29"/>
      <c r="H272" s="29"/>
      <c r="I272" s="29"/>
    </row>
    <row r="273" spans="1:9" ht="14.25" customHeight="1" x14ac:dyDescent="0.25">
      <c r="A273" s="216">
        <v>90</v>
      </c>
      <c r="B273" s="22" t="str">
        <f>IFERROR(LEFT(_xlfn.IFNA(INDEX(W2Pデータ貼り付け!B:B,MATCH(注文書!$A273,W2Pデータ貼り付け!$AM:$AM,0)),""),FIND("-",_xlfn.IFNA(INDEX(W2Pデータ貼り付け!B:B,MATCH(注文書!$A273,W2Pデータ貼り付け!$AM:$AM,0)),""))-1),_xlfn.IFNA(INDEX(W2Pデータ貼り付け!B:B,MATCH(注文書!$A273,W2Pデータ貼り付け!$AM:$AM,0)),""))</f>
        <v/>
      </c>
      <c r="C273" s="222" t="str">
        <f>_xlfn.IFNA(DATEVALUE(TEXT(INDEX(W2Pデータ貼り付け!AF:AF,MATCH(注文書!$A273,W2Pデータ貼り付け!$AM:$AM,0)),"0000!/00!/00")),"")</f>
        <v/>
      </c>
      <c r="D273" s="17" t="str">
        <f>_xlfn.IFNA(INDEX(W2Pデータ貼り付け!M:M,MATCH(注文書!$A273,W2Pデータ貼り付け!$AM:$AM,0)),"")</f>
        <v/>
      </c>
      <c r="E273" s="17" t="str">
        <f>_xlfn.IFNA(INDEX(W2Pデータ貼り付け!T:T,MATCH(注文書!$A273,W2Pデータ貼り付け!$AM:$AM,0)),"")</f>
        <v/>
      </c>
      <c r="F273" s="23" t="str" cm="1">
        <f t="array" ref="F273">_xlfn.IFNA(_xlfn.SINGLE(INDEX(CONCATENATE(W2Pデータ貼り付け!V:V,"部"),MATCH(注文書!$A273,W2Pデータ貼り付け!$AM:$AM,0))),"")</f>
        <v/>
      </c>
      <c r="G273" s="24"/>
      <c r="H273" s="24"/>
      <c r="I273" s="24"/>
    </row>
    <row r="274" spans="1:9" ht="14.25" customHeight="1" x14ac:dyDescent="0.25">
      <c r="A274" s="217"/>
      <c r="B274" s="25" t="str">
        <f>IFERROR(MID(_xlfn.IFNA(INDEX(W2Pデータ貼り付け!B:B,MATCH(注文書!$A273,W2Pデータ貼り付け!$AM:$AM,0)),""),FIND("-",_xlfn.IFNA(INDEX(W2Pデータ貼り付け!B:B,MATCH(注文書!$A273,W2Pデータ貼り付け!$AM:$AM,0)),"")),LEN(_xlfn.IFNA(INDEX(W2Pデータ貼り付け!B:B,MATCH(注文書!$A273,W2Pデータ貼り付け!$AM:$AM,0)),""))),"")</f>
        <v/>
      </c>
      <c r="C274" s="223"/>
      <c r="D274" s="18" t="str">
        <f>_xlfn.IFNA(INDEX(W2Pデータ貼り付け!N:N,MATCH(注文書!$A273,W2Pデータ貼り付け!$AM:$AM,0)),"")</f>
        <v/>
      </c>
      <c r="E274" s="18"/>
      <c r="F274" s="26" t="str">
        <f>_xlfn.IFNA(INDEX(W2Pデータ貼り付け!AK:AK,MATCH(注文書!$A273,W2Pデータ貼り付け!$AM:$AM,0)),"")</f>
        <v/>
      </c>
      <c r="G274" s="27"/>
      <c r="H274" s="27"/>
      <c r="I274" s="27"/>
    </row>
    <row r="275" spans="1:9" ht="14.25" customHeight="1" x14ac:dyDescent="0.25">
      <c r="A275" s="218"/>
      <c r="B275" s="36" t="str">
        <f ca="1">IF(B273&lt;&gt;"",TODAY(),"")</f>
        <v/>
      </c>
      <c r="C275" s="224"/>
      <c r="D275" s="19" t="str">
        <f>_xlfn.IFNA(INDEX(W2Pデータ貼り付け!O:O,MATCH(注文書!$A273,W2Pデータ貼り付け!$AM:$AM,0)),"")</f>
        <v/>
      </c>
      <c r="E275" s="19" t="str">
        <f>_xlfn.IFNA(INDEX(W2Pデータ貼り付け!U:U,MATCH(注文書!$A273,W2Pデータ貼り付け!$AM:$AM,0)),"")</f>
        <v/>
      </c>
      <c r="F275" s="28" t="str">
        <f>_xlfn.IFNA(INDEX(W2Pデータ貼り付け!AL:AL,MATCH(注文書!$A273,W2Pデータ貼り付け!$AM:$AM,0)),"")</f>
        <v/>
      </c>
      <c r="G275" s="29"/>
      <c r="H275" s="29"/>
      <c r="I275" s="29"/>
    </row>
    <row r="276" spans="1:9" ht="14.25" customHeight="1" x14ac:dyDescent="0.25">
      <c r="A276" s="216">
        <v>91</v>
      </c>
      <c r="B276" s="22" t="str">
        <f>IFERROR(LEFT(_xlfn.IFNA(INDEX(W2Pデータ貼り付け!B:B,MATCH(注文書!$A276,W2Pデータ貼り付け!$AM:$AM,0)),""),FIND("-",_xlfn.IFNA(INDEX(W2Pデータ貼り付け!B:B,MATCH(注文書!$A276,W2Pデータ貼り付け!$AM:$AM,0)),""))-1),_xlfn.IFNA(INDEX(W2Pデータ貼り付け!B:B,MATCH(注文書!$A276,W2Pデータ貼り付け!$AM:$AM,0)),""))</f>
        <v/>
      </c>
      <c r="C276" s="222" t="str">
        <f>_xlfn.IFNA(DATEVALUE(TEXT(INDEX(W2Pデータ貼り付け!AF:AF,MATCH(注文書!$A276,W2Pデータ貼り付け!$AM:$AM,0)),"0000!/00!/00")),"")</f>
        <v/>
      </c>
      <c r="D276" s="17" t="str">
        <f>_xlfn.IFNA(INDEX(W2Pデータ貼り付け!M:M,MATCH(注文書!$A276,W2Pデータ貼り付け!$AM:$AM,0)),"")</f>
        <v/>
      </c>
      <c r="E276" s="17" t="str">
        <f>_xlfn.IFNA(INDEX(W2Pデータ貼り付け!T:T,MATCH(注文書!$A276,W2Pデータ貼り付け!$AM:$AM,0)),"")</f>
        <v/>
      </c>
      <c r="F276" s="23" t="str" cm="1">
        <f t="array" ref="F276">_xlfn.IFNA(_xlfn.SINGLE(INDEX(CONCATENATE(W2Pデータ貼り付け!V:V,"部"),MATCH(注文書!$A276,W2Pデータ貼り付け!$AM:$AM,0))),"")</f>
        <v/>
      </c>
      <c r="G276" s="24"/>
      <c r="H276" s="24"/>
      <c r="I276" s="24"/>
    </row>
    <row r="277" spans="1:9" ht="14.25" customHeight="1" x14ac:dyDescent="0.25">
      <c r="A277" s="217"/>
      <c r="B277" s="25" t="str">
        <f>IFERROR(MID(_xlfn.IFNA(INDEX(W2Pデータ貼り付け!B:B,MATCH(注文書!$A276,W2Pデータ貼り付け!$AM:$AM,0)),""),FIND("-",_xlfn.IFNA(INDEX(W2Pデータ貼り付け!B:B,MATCH(注文書!$A276,W2Pデータ貼り付け!$AM:$AM,0)),"")),LEN(_xlfn.IFNA(INDEX(W2Pデータ貼り付け!B:B,MATCH(注文書!$A276,W2Pデータ貼り付け!$AM:$AM,0)),""))),"")</f>
        <v/>
      </c>
      <c r="C277" s="223"/>
      <c r="D277" s="18" t="str">
        <f>_xlfn.IFNA(INDEX(W2Pデータ貼り付け!N:N,MATCH(注文書!$A276,W2Pデータ貼り付け!$AM:$AM,0)),"")</f>
        <v/>
      </c>
      <c r="E277" s="18"/>
      <c r="F277" s="26" t="str">
        <f>_xlfn.IFNA(INDEX(W2Pデータ貼り付け!AK:AK,MATCH(注文書!$A276,W2Pデータ貼り付け!$AM:$AM,0)),"")</f>
        <v/>
      </c>
      <c r="G277" s="27"/>
      <c r="H277" s="27"/>
      <c r="I277" s="27"/>
    </row>
    <row r="278" spans="1:9" ht="14.25" customHeight="1" x14ac:dyDescent="0.25">
      <c r="A278" s="218"/>
      <c r="B278" s="36" t="str">
        <f ca="1">IF(B276&lt;&gt;"",TODAY(),"")</f>
        <v/>
      </c>
      <c r="C278" s="224"/>
      <c r="D278" s="19" t="str">
        <f>_xlfn.IFNA(INDEX(W2Pデータ貼り付け!O:O,MATCH(注文書!$A276,W2Pデータ貼り付け!$AM:$AM,0)),"")</f>
        <v/>
      </c>
      <c r="E278" s="19" t="str">
        <f>_xlfn.IFNA(INDEX(W2Pデータ貼り付け!U:U,MATCH(注文書!$A276,W2Pデータ貼り付け!$AM:$AM,0)),"")</f>
        <v/>
      </c>
      <c r="F278" s="28" t="str">
        <f>_xlfn.IFNA(INDEX(W2Pデータ貼り付け!AL:AL,MATCH(注文書!$A276,W2Pデータ貼り付け!$AM:$AM,0)),"")</f>
        <v/>
      </c>
      <c r="G278" s="29"/>
      <c r="H278" s="29"/>
      <c r="I278" s="29"/>
    </row>
    <row r="279" spans="1:9" ht="14.25" customHeight="1" x14ac:dyDescent="0.25">
      <c r="A279" s="216">
        <v>92</v>
      </c>
      <c r="B279" s="22" t="str">
        <f>IFERROR(LEFT(_xlfn.IFNA(INDEX(W2Pデータ貼り付け!B:B,MATCH(注文書!$A279,W2Pデータ貼り付け!$AM:$AM,0)),""),FIND("-",_xlfn.IFNA(INDEX(W2Pデータ貼り付け!B:B,MATCH(注文書!$A279,W2Pデータ貼り付け!$AM:$AM,0)),""))-1),_xlfn.IFNA(INDEX(W2Pデータ貼り付け!B:B,MATCH(注文書!$A279,W2Pデータ貼り付け!$AM:$AM,0)),""))</f>
        <v/>
      </c>
      <c r="C279" s="222" t="str">
        <f>_xlfn.IFNA(DATEVALUE(TEXT(INDEX(W2Pデータ貼り付け!AF:AF,MATCH(注文書!$A279,W2Pデータ貼り付け!$AM:$AM,0)),"0000!/00!/00")),"")</f>
        <v/>
      </c>
      <c r="D279" s="17" t="str">
        <f>_xlfn.IFNA(INDEX(W2Pデータ貼り付け!M:M,MATCH(注文書!$A279,W2Pデータ貼り付け!$AM:$AM,0)),"")</f>
        <v/>
      </c>
      <c r="E279" s="17" t="str">
        <f>_xlfn.IFNA(INDEX(W2Pデータ貼り付け!T:T,MATCH(注文書!$A279,W2Pデータ貼り付け!$AM:$AM,0)),"")</f>
        <v/>
      </c>
      <c r="F279" s="23" t="str" cm="1">
        <f t="array" ref="F279">_xlfn.IFNA(_xlfn.SINGLE(INDEX(CONCATENATE(W2Pデータ貼り付け!V:V,"部"),MATCH(注文書!$A279,W2Pデータ貼り付け!$AM:$AM,0))),"")</f>
        <v/>
      </c>
      <c r="G279" s="24"/>
      <c r="H279" s="24"/>
      <c r="I279" s="24"/>
    </row>
    <row r="280" spans="1:9" ht="14.25" customHeight="1" x14ac:dyDescent="0.25">
      <c r="A280" s="217"/>
      <c r="B280" s="25" t="str">
        <f>IFERROR(MID(_xlfn.IFNA(INDEX(W2Pデータ貼り付け!B:B,MATCH(注文書!$A279,W2Pデータ貼り付け!$AM:$AM,0)),""),FIND("-",_xlfn.IFNA(INDEX(W2Pデータ貼り付け!B:B,MATCH(注文書!$A279,W2Pデータ貼り付け!$AM:$AM,0)),"")),LEN(_xlfn.IFNA(INDEX(W2Pデータ貼り付け!B:B,MATCH(注文書!$A279,W2Pデータ貼り付け!$AM:$AM,0)),""))),"")</f>
        <v/>
      </c>
      <c r="C280" s="223"/>
      <c r="D280" s="18" t="str">
        <f>_xlfn.IFNA(INDEX(W2Pデータ貼り付け!N:N,MATCH(注文書!$A279,W2Pデータ貼り付け!$AM:$AM,0)),"")</f>
        <v/>
      </c>
      <c r="E280" s="18"/>
      <c r="F280" s="26" t="str">
        <f>_xlfn.IFNA(INDEX(W2Pデータ貼り付け!AK:AK,MATCH(注文書!$A279,W2Pデータ貼り付け!$AM:$AM,0)),"")</f>
        <v/>
      </c>
      <c r="G280" s="27"/>
      <c r="H280" s="27"/>
      <c r="I280" s="27"/>
    </row>
    <row r="281" spans="1:9" ht="14.25" customHeight="1" x14ac:dyDescent="0.25">
      <c r="A281" s="218"/>
      <c r="B281" s="36" t="str">
        <f ca="1">IF(B279&lt;&gt;"",TODAY(),"")</f>
        <v/>
      </c>
      <c r="C281" s="224"/>
      <c r="D281" s="19" t="str">
        <f>_xlfn.IFNA(INDEX(W2Pデータ貼り付け!O:O,MATCH(注文書!$A279,W2Pデータ貼り付け!$AM:$AM,0)),"")</f>
        <v/>
      </c>
      <c r="E281" s="19" t="str">
        <f>_xlfn.IFNA(INDEX(W2Pデータ貼り付け!U:U,MATCH(注文書!$A279,W2Pデータ貼り付け!$AM:$AM,0)),"")</f>
        <v/>
      </c>
      <c r="F281" s="28" t="str">
        <f>_xlfn.IFNA(INDEX(W2Pデータ貼り付け!AL:AL,MATCH(注文書!$A279,W2Pデータ貼り付け!$AM:$AM,0)),"")</f>
        <v/>
      </c>
      <c r="G281" s="29"/>
      <c r="H281" s="29"/>
      <c r="I281" s="29"/>
    </row>
    <row r="282" spans="1:9" ht="14.25" customHeight="1" x14ac:dyDescent="0.25">
      <c r="A282" s="216">
        <v>93</v>
      </c>
      <c r="B282" s="22" t="str">
        <f>IFERROR(LEFT(_xlfn.IFNA(INDEX(W2Pデータ貼り付け!B:B,MATCH(注文書!$A282,W2Pデータ貼り付け!$AM:$AM,0)),""),FIND("-",_xlfn.IFNA(INDEX(W2Pデータ貼り付け!B:B,MATCH(注文書!$A282,W2Pデータ貼り付け!$AM:$AM,0)),""))-1),_xlfn.IFNA(INDEX(W2Pデータ貼り付け!B:B,MATCH(注文書!$A282,W2Pデータ貼り付け!$AM:$AM,0)),""))</f>
        <v/>
      </c>
      <c r="C282" s="222" t="str">
        <f>_xlfn.IFNA(DATEVALUE(TEXT(INDEX(W2Pデータ貼り付け!AF:AF,MATCH(注文書!$A282,W2Pデータ貼り付け!$AM:$AM,0)),"0000!/00!/00")),"")</f>
        <v/>
      </c>
      <c r="D282" s="17" t="str">
        <f>_xlfn.IFNA(INDEX(W2Pデータ貼り付け!M:M,MATCH(注文書!$A282,W2Pデータ貼り付け!$AM:$AM,0)),"")</f>
        <v/>
      </c>
      <c r="E282" s="17" t="str">
        <f>_xlfn.IFNA(INDEX(W2Pデータ貼り付け!T:T,MATCH(注文書!$A282,W2Pデータ貼り付け!$AM:$AM,0)),"")</f>
        <v/>
      </c>
      <c r="F282" s="23" t="str" cm="1">
        <f t="array" ref="F282">_xlfn.IFNA(_xlfn.SINGLE(INDEX(CONCATENATE(W2Pデータ貼り付け!V:V,"部"),MATCH(注文書!$A282,W2Pデータ貼り付け!$AM:$AM,0))),"")</f>
        <v/>
      </c>
      <c r="G282" s="24"/>
      <c r="H282" s="24"/>
      <c r="I282" s="24"/>
    </row>
    <row r="283" spans="1:9" ht="14.25" customHeight="1" x14ac:dyDescent="0.25">
      <c r="A283" s="217"/>
      <c r="B283" s="25" t="str">
        <f>IFERROR(MID(_xlfn.IFNA(INDEX(W2Pデータ貼り付け!B:B,MATCH(注文書!$A282,W2Pデータ貼り付け!$AM:$AM,0)),""),FIND("-",_xlfn.IFNA(INDEX(W2Pデータ貼り付け!B:B,MATCH(注文書!$A282,W2Pデータ貼り付け!$AM:$AM,0)),"")),LEN(_xlfn.IFNA(INDEX(W2Pデータ貼り付け!B:B,MATCH(注文書!$A282,W2Pデータ貼り付け!$AM:$AM,0)),""))),"")</f>
        <v/>
      </c>
      <c r="C283" s="223"/>
      <c r="D283" s="18" t="str">
        <f>_xlfn.IFNA(INDEX(W2Pデータ貼り付け!N:N,MATCH(注文書!$A282,W2Pデータ貼り付け!$AM:$AM,0)),"")</f>
        <v/>
      </c>
      <c r="E283" s="18"/>
      <c r="F283" s="26" t="str">
        <f>_xlfn.IFNA(INDEX(W2Pデータ貼り付け!AK:AK,MATCH(注文書!$A282,W2Pデータ貼り付け!$AM:$AM,0)),"")</f>
        <v/>
      </c>
      <c r="G283" s="27"/>
      <c r="H283" s="27"/>
      <c r="I283" s="27"/>
    </row>
    <row r="284" spans="1:9" ht="14.25" customHeight="1" x14ac:dyDescent="0.25">
      <c r="A284" s="218"/>
      <c r="B284" s="36" t="str">
        <f ca="1">IF(B282&lt;&gt;"",TODAY(),"")</f>
        <v/>
      </c>
      <c r="C284" s="224"/>
      <c r="D284" s="19" t="str">
        <f>_xlfn.IFNA(INDEX(W2Pデータ貼り付け!O:O,MATCH(注文書!$A282,W2Pデータ貼り付け!$AM:$AM,0)),"")</f>
        <v/>
      </c>
      <c r="E284" s="19" t="str">
        <f>_xlfn.IFNA(INDEX(W2Pデータ貼り付け!U:U,MATCH(注文書!$A282,W2Pデータ貼り付け!$AM:$AM,0)),"")</f>
        <v/>
      </c>
      <c r="F284" s="28" t="str">
        <f>_xlfn.IFNA(INDEX(W2Pデータ貼り付け!AL:AL,MATCH(注文書!$A282,W2Pデータ貼り付け!$AM:$AM,0)),"")</f>
        <v/>
      </c>
      <c r="G284" s="29"/>
      <c r="H284" s="29"/>
      <c r="I284" s="29"/>
    </row>
    <row r="285" spans="1:9" ht="14.25" customHeight="1" x14ac:dyDescent="0.25">
      <c r="A285" s="216">
        <v>94</v>
      </c>
      <c r="B285" s="22" t="str">
        <f>IFERROR(LEFT(_xlfn.IFNA(INDEX(W2Pデータ貼り付け!B:B,MATCH(注文書!$A285,W2Pデータ貼り付け!$AM:$AM,0)),""),FIND("-",_xlfn.IFNA(INDEX(W2Pデータ貼り付け!B:B,MATCH(注文書!$A285,W2Pデータ貼り付け!$AM:$AM,0)),""))-1),_xlfn.IFNA(INDEX(W2Pデータ貼り付け!B:B,MATCH(注文書!$A285,W2Pデータ貼り付け!$AM:$AM,0)),""))</f>
        <v/>
      </c>
      <c r="C285" s="222" t="str">
        <f>_xlfn.IFNA(DATEVALUE(TEXT(INDEX(W2Pデータ貼り付け!AF:AF,MATCH(注文書!$A285,W2Pデータ貼り付け!$AM:$AM,0)),"0000!/00!/00")),"")</f>
        <v/>
      </c>
      <c r="D285" s="17" t="str">
        <f>_xlfn.IFNA(INDEX(W2Pデータ貼り付け!M:M,MATCH(注文書!$A285,W2Pデータ貼り付け!$AM:$AM,0)),"")</f>
        <v/>
      </c>
      <c r="E285" s="17" t="str">
        <f>_xlfn.IFNA(INDEX(W2Pデータ貼り付け!T:T,MATCH(注文書!$A285,W2Pデータ貼り付け!$AM:$AM,0)),"")</f>
        <v/>
      </c>
      <c r="F285" s="23" t="str" cm="1">
        <f t="array" ref="F285">_xlfn.IFNA(_xlfn.SINGLE(INDEX(CONCATENATE(W2Pデータ貼り付け!V:V,"部"),MATCH(注文書!$A285,W2Pデータ貼り付け!$AM:$AM,0))),"")</f>
        <v/>
      </c>
      <c r="G285" s="24"/>
      <c r="H285" s="24"/>
      <c r="I285" s="24"/>
    </row>
    <row r="286" spans="1:9" ht="14.25" customHeight="1" x14ac:dyDescent="0.25">
      <c r="A286" s="217"/>
      <c r="B286" s="25" t="str">
        <f>IFERROR(MID(_xlfn.IFNA(INDEX(W2Pデータ貼り付け!B:B,MATCH(注文書!$A285,W2Pデータ貼り付け!$AM:$AM,0)),""),FIND("-",_xlfn.IFNA(INDEX(W2Pデータ貼り付け!B:B,MATCH(注文書!$A285,W2Pデータ貼り付け!$AM:$AM,0)),"")),LEN(_xlfn.IFNA(INDEX(W2Pデータ貼り付け!B:B,MATCH(注文書!$A285,W2Pデータ貼り付け!$AM:$AM,0)),""))),"")</f>
        <v/>
      </c>
      <c r="C286" s="223"/>
      <c r="D286" s="18" t="str">
        <f>_xlfn.IFNA(INDEX(W2Pデータ貼り付け!N:N,MATCH(注文書!$A285,W2Pデータ貼り付け!$AM:$AM,0)),"")</f>
        <v/>
      </c>
      <c r="E286" s="18"/>
      <c r="F286" s="26" t="str">
        <f>_xlfn.IFNA(INDEX(W2Pデータ貼り付け!AK:AK,MATCH(注文書!$A285,W2Pデータ貼り付け!$AM:$AM,0)),"")</f>
        <v/>
      </c>
      <c r="G286" s="27"/>
      <c r="H286" s="27"/>
      <c r="I286" s="27"/>
    </row>
    <row r="287" spans="1:9" ht="14.25" customHeight="1" x14ac:dyDescent="0.25">
      <c r="A287" s="218"/>
      <c r="B287" s="36" t="str">
        <f ca="1">IF(B285&lt;&gt;"",TODAY(),"")</f>
        <v/>
      </c>
      <c r="C287" s="224"/>
      <c r="D287" s="19" t="str">
        <f>_xlfn.IFNA(INDEX(W2Pデータ貼り付け!O:O,MATCH(注文書!$A285,W2Pデータ貼り付け!$AM:$AM,0)),"")</f>
        <v/>
      </c>
      <c r="E287" s="19" t="str">
        <f>_xlfn.IFNA(INDEX(W2Pデータ貼り付け!U:U,MATCH(注文書!$A285,W2Pデータ貼り付け!$AM:$AM,0)),"")</f>
        <v/>
      </c>
      <c r="F287" s="28" t="str">
        <f>_xlfn.IFNA(INDEX(W2Pデータ貼り付け!AL:AL,MATCH(注文書!$A285,W2Pデータ貼り付け!$AM:$AM,0)),"")</f>
        <v/>
      </c>
      <c r="G287" s="29"/>
      <c r="H287" s="29"/>
      <c r="I287" s="29"/>
    </row>
    <row r="288" spans="1:9" ht="14.25" customHeight="1" x14ac:dyDescent="0.25">
      <c r="A288" s="216">
        <v>95</v>
      </c>
      <c r="B288" s="22" t="str">
        <f>IFERROR(LEFT(_xlfn.IFNA(INDEX(W2Pデータ貼り付け!B:B,MATCH(注文書!$A288,W2Pデータ貼り付け!$AM:$AM,0)),""),FIND("-",_xlfn.IFNA(INDEX(W2Pデータ貼り付け!B:B,MATCH(注文書!$A288,W2Pデータ貼り付け!$AM:$AM,0)),""))-1),_xlfn.IFNA(INDEX(W2Pデータ貼り付け!B:B,MATCH(注文書!$A288,W2Pデータ貼り付け!$AM:$AM,0)),""))</f>
        <v/>
      </c>
      <c r="C288" s="222" t="str">
        <f>_xlfn.IFNA(DATEVALUE(TEXT(INDEX(W2Pデータ貼り付け!AF:AF,MATCH(注文書!$A288,W2Pデータ貼り付け!$AM:$AM,0)),"0000!/00!/00")),"")</f>
        <v/>
      </c>
      <c r="D288" s="17" t="str">
        <f>_xlfn.IFNA(INDEX(W2Pデータ貼り付け!M:M,MATCH(注文書!$A288,W2Pデータ貼り付け!$AM:$AM,0)),"")</f>
        <v/>
      </c>
      <c r="E288" s="17" t="str">
        <f>_xlfn.IFNA(INDEX(W2Pデータ貼り付け!T:T,MATCH(注文書!$A288,W2Pデータ貼り付け!$AM:$AM,0)),"")</f>
        <v/>
      </c>
      <c r="F288" s="23" t="str" cm="1">
        <f t="array" ref="F288">_xlfn.IFNA(_xlfn.SINGLE(INDEX(CONCATENATE(W2Pデータ貼り付け!V:V,"部"),MATCH(注文書!$A288,W2Pデータ貼り付け!$AM:$AM,0))),"")</f>
        <v/>
      </c>
      <c r="G288" s="24"/>
      <c r="H288" s="24"/>
      <c r="I288" s="24"/>
    </row>
    <row r="289" spans="1:9" ht="14.25" customHeight="1" x14ac:dyDescent="0.25">
      <c r="A289" s="217"/>
      <c r="B289" s="25" t="str">
        <f>IFERROR(MID(_xlfn.IFNA(INDEX(W2Pデータ貼り付け!B:B,MATCH(注文書!$A288,W2Pデータ貼り付け!$AM:$AM,0)),""),FIND("-",_xlfn.IFNA(INDEX(W2Pデータ貼り付け!B:B,MATCH(注文書!$A288,W2Pデータ貼り付け!$AM:$AM,0)),"")),LEN(_xlfn.IFNA(INDEX(W2Pデータ貼り付け!B:B,MATCH(注文書!$A288,W2Pデータ貼り付け!$AM:$AM,0)),""))),"")</f>
        <v/>
      </c>
      <c r="C289" s="223"/>
      <c r="D289" s="18" t="str">
        <f>_xlfn.IFNA(INDEX(W2Pデータ貼り付け!N:N,MATCH(注文書!$A288,W2Pデータ貼り付け!$AM:$AM,0)),"")</f>
        <v/>
      </c>
      <c r="E289" s="18"/>
      <c r="F289" s="26" t="str">
        <f>_xlfn.IFNA(INDEX(W2Pデータ貼り付け!AK:AK,MATCH(注文書!$A288,W2Pデータ貼り付け!$AM:$AM,0)),"")</f>
        <v/>
      </c>
      <c r="G289" s="27"/>
      <c r="H289" s="27"/>
      <c r="I289" s="27"/>
    </row>
    <row r="290" spans="1:9" ht="14.25" customHeight="1" x14ac:dyDescent="0.25">
      <c r="A290" s="218"/>
      <c r="B290" s="36" t="str">
        <f ca="1">IF(B288&lt;&gt;"",TODAY(),"")</f>
        <v/>
      </c>
      <c r="C290" s="224"/>
      <c r="D290" s="19" t="str">
        <f>_xlfn.IFNA(INDEX(W2Pデータ貼り付け!O:O,MATCH(注文書!$A288,W2Pデータ貼り付け!$AM:$AM,0)),"")</f>
        <v/>
      </c>
      <c r="E290" s="19" t="str">
        <f>_xlfn.IFNA(INDEX(W2Pデータ貼り付け!U:U,MATCH(注文書!$A288,W2Pデータ貼り付け!$AM:$AM,0)),"")</f>
        <v/>
      </c>
      <c r="F290" s="28" t="str">
        <f>_xlfn.IFNA(INDEX(W2Pデータ貼り付け!AL:AL,MATCH(注文書!$A288,W2Pデータ貼り付け!$AM:$AM,0)),"")</f>
        <v/>
      </c>
      <c r="G290" s="29"/>
      <c r="H290" s="29"/>
      <c r="I290" s="29"/>
    </row>
    <row r="291" spans="1:9" ht="14.25" customHeight="1" x14ac:dyDescent="0.25">
      <c r="A291" s="216">
        <v>96</v>
      </c>
      <c r="B291" s="22" t="str">
        <f>IFERROR(LEFT(_xlfn.IFNA(INDEX(W2Pデータ貼り付け!B:B,MATCH(注文書!$A291,W2Pデータ貼り付け!$AM:$AM,0)),""),FIND("-",_xlfn.IFNA(INDEX(W2Pデータ貼り付け!B:B,MATCH(注文書!$A291,W2Pデータ貼り付け!$AM:$AM,0)),""))-1),_xlfn.IFNA(INDEX(W2Pデータ貼り付け!B:B,MATCH(注文書!$A291,W2Pデータ貼り付け!$AM:$AM,0)),""))</f>
        <v/>
      </c>
      <c r="C291" s="222" t="str">
        <f>_xlfn.IFNA(DATEVALUE(TEXT(INDEX(W2Pデータ貼り付け!AF:AF,MATCH(注文書!$A291,W2Pデータ貼り付け!$AM:$AM,0)),"0000!/00!/00")),"")</f>
        <v/>
      </c>
      <c r="D291" s="17" t="str">
        <f>_xlfn.IFNA(INDEX(W2Pデータ貼り付け!M:M,MATCH(注文書!$A291,W2Pデータ貼り付け!$AM:$AM,0)),"")</f>
        <v/>
      </c>
      <c r="E291" s="17" t="str">
        <f>_xlfn.IFNA(INDEX(W2Pデータ貼り付け!T:T,MATCH(注文書!$A291,W2Pデータ貼り付け!$AM:$AM,0)),"")</f>
        <v/>
      </c>
      <c r="F291" s="23" t="str" cm="1">
        <f t="array" ref="F291">_xlfn.IFNA(_xlfn.SINGLE(INDEX(CONCATENATE(W2Pデータ貼り付け!V:V,"部"),MATCH(注文書!$A291,W2Pデータ貼り付け!$AM:$AM,0))),"")</f>
        <v/>
      </c>
      <c r="G291" s="24"/>
      <c r="H291" s="24"/>
      <c r="I291" s="24"/>
    </row>
    <row r="292" spans="1:9" ht="14.25" customHeight="1" x14ac:dyDescent="0.25">
      <c r="A292" s="217"/>
      <c r="B292" s="25" t="str">
        <f>IFERROR(MID(_xlfn.IFNA(INDEX(W2Pデータ貼り付け!B:B,MATCH(注文書!$A291,W2Pデータ貼り付け!$AM:$AM,0)),""),FIND("-",_xlfn.IFNA(INDEX(W2Pデータ貼り付け!B:B,MATCH(注文書!$A291,W2Pデータ貼り付け!$AM:$AM,0)),"")),LEN(_xlfn.IFNA(INDEX(W2Pデータ貼り付け!B:B,MATCH(注文書!$A291,W2Pデータ貼り付け!$AM:$AM,0)),""))),"")</f>
        <v/>
      </c>
      <c r="C292" s="223"/>
      <c r="D292" s="18" t="str">
        <f>_xlfn.IFNA(INDEX(W2Pデータ貼り付け!N:N,MATCH(注文書!$A291,W2Pデータ貼り付け!$AM:$AM,0)),"")</f>
        <v/>
      </c>
      <c r="E292" s="18"/>
      <c r="F292" s="26" t="str">
        <f>_xlfn.IFNA(INDEX(W2Pデータ貼り付け!AK:AK,MATCH(注文書!$A291,W2Pデータ貼り付け!$AM:$AM,0)),"")</f>
        <v/>
      </c>
      <c r="G292" s="27"/>
      <c r="H292" s="27"/>
      <c r="I292" s="27"/>
    </row>
    <row r="293" spans="1:9" ht="14.25" customHeight="1" x14ac:dyDescent="0.25">
      <c r="A293" s="218"/>
      <c r="B293" s="36" t="str">
        <f ca="1">IF(B291&lt;&gt;"",TODAY(),"")</f>
        <v/>
      </c>
      <c r="C293" s="224"/>
      <c r="D293" s="19" t="str">
        <f>_xlfn.IFNA(INDEX(W2Pデータ貼り付け!O:O,MATCH(注文書!$A291,W2Pデータ貼り付け!$AM:$AM,0)),"")</f>
        <v/>
      </c>
      <c r="E293" s="19" t="str">
        <f>_xlfn.IFNA(INDEX(W2Pデータ貼り付け!U:U,MATCH(注文書!$A291,W2Pデータ貼り付け!$AM:$AM,0)),"")</f>
        <v/>
      </c>
      <c r="F293" s="28" t="str">
        <f>_xlfn.IFNA(INDEX(W2Pデータ貼り付け!AL:AL,MATCH(注文書!$A291,W2Pデータ貼り付け!$AM:$AM,0)),"")</f>
        <v/>
      </c>
      <c r="G293" s="29"/>
      <c r="H293" s="29"/>
      <c r="I293" s="29"/>
    </row>
    <row r="294" spans="1:9" ht="14.25" customHeight="1" x14ac:dyDescent="0.25">
      <c r="A294" s="216">
        <v>97</v>
      </c>
      <c r="B294" s="22" t="str">
        <f>IFERROR(LEFT(_xlfn.IFNA(INDEX(W2Pデータ貼り付け!B:B,MATCH(注文書!$A294,W2Pデータ貼り付け!$AM:$AM,0)),""),FIND("-",_xlfn.IFNA(INDEX(W2Pデータ貼り付け!B:B,MATCH(注文書!$A294,W2Pデータ貼り付け!$AM:$AM,0)),""))-1),_xlfn.IFNA(INDEX(W2Pデータ貼り付け!B:B,MATCH(注文書!$A294,W2Pデータ貼り付け!$AM:$AM,0)),""))</f>
        <v/>
      </c>
      <c r="C294" s="222" t="str">
        <f>_xlfn.IFNA(DATEVALUE(TEXT(INDEX(W2Pデータ貼り付け!AF:AF,MATCH(注文書!$A294,W2Pデータ貼り付け!$AM:$AM,0)),"0000!/00!/00")),"")</f>
        <v/>
      </c>
      <c r="D294" s="17" t="str">
        <f>_xlfn.IFNA(INDEX(W2Pデータ貼り付け!M:M,MATCH(注文書!$A294,W2Pデータ貼り付け!$AM:$AM,0)),"")</f>
        <v/>
      </c>
      <c r="E294" s="17" t="str">
        <f>_xlfn.IFNA(INDEX(W2Pデータ貼り付け!T:T,MATCH(注文書!$A294,W2Pデータ貼り付け!$AM:$AM,0)),"")</f>
        <v/>
      </c>
      <c r="F294" s="23" t="str" cm="1">
        <f t="array" ref="F294">_xlfn.IFNA(_xlfn.SINGLE(INDEX(CONCATENATE(W2Pデータ貼り付け!V:V,"部"),MATCH(注文書!$A294,W2Pデータ貼り付け!$AM:$AM,0))),"")</f>
        <v/>
      </c>
      <c r="G294" s="24"/>
      <c r="H294" s="24"/>
      <c r="I294" s="24"/>
    </row>
    <row r="295" spans="1:9" ht="14.25" customHeight="1" x14ac:dyDescent="0.25">
      <c r="A295" s="217"/>
      <c r="B295" s="25" t="str">
        <f>IFERROR(MID(_xlfn.IFNA(INDEX(W2Pデータ貼り付け!B:B,MATCH(注文書!$A294,W2Pデータ貼り付け!$AM:$AM,0)),""),FIND("-",_xlfn.IFNA(INDEX(W2Pデータ貼り付け!B:B,MATCH(注文書!$A294,W2Pデータ貼り付け!$AM:$AM,0)),"")),LEN(_xlfn.IFNA(INDEX(W2Pデータ貼り付け!B:B,MATCH(注文書!$A294,W2Pデータ貼り付け!$AM:$AM,0)),""))),"")</f>
        <v/>
      </c>
      <c r="C295" s="223"/>
      <c r="D295" s="18" t="str">
        <f>_xlfn.IFNA(INDEX(W2Pデータ貼り付け!N:N,MATCH(注文書!$A294,W2Pデータ貼り付け!$AM:$AM,0)),"")</f>
        <v/>
      </c>
      <c r="E295" s="18"/>
      <c r="F295" s="26" t="str">
        <f>_xlfn.IFNA(INDEX(W2Pデータ貼り付け!AK:AK,MATCH(注文書!$A294,W2Pデータ貼り付け!$AM:$AM,0)),"")</f>
        <v/>
      </c>
      <c r="G295" s="27"/>
      <c r="H295" s="27"/>
      <c r="I295" s="27"/>
    </row>
    <row r="296" spans="1:9" ht="14.25" customHeight="1" x14ac:dyDescent="0.25">
      <c r="A296" s="218"/>
      <c r="B296" s="36" t="str">
        <f ca="1">IF(B294&lt;&gt;"",TODAY(),"")</f>
        <v/>
      </c>
      <c r="C296" s="224"/>
      <c r="D296" s="19" t="str">
        <f>_xlfn.IFNA(INDEX(W2Pデータ貼り付け!O:O,MATCH(注文書!$A294,W2Pデータ貼り付け!$AM:$AM,0)),"")</f>
        <v/>
      </c>
      <c r="E296" s="19" t="str">
        <f>_xlfn.IFNA(INDEX(W2Pデータ貼り付け!U:U,MATCH(注文書!$A294,W2Pデータ貼り付け!$AM:$AM,0)),"")</f>
        <v/>
      </c>
      <c r="F296" s="28" t="str">
        <f>_xlfn.IFNA(INDEX(W2Pデータ貼り付け!AL:AL,MATCH(注文書!$A294,W2Pデータ貼り付け!$AM:$AM,0)),"")</f>
        <v/>
      </c>
      <c r="G296" s="29"/>
      <c r="H296" s="29"/>
      <c r="I296" s="29"/>
    </row>
    <row r="297" spans="1:9" ht="14.25" customHeight="1" x14ac:dyDescent="0.25">
      <c r="A297" s="216">
        <v>98</v>
      </c>
      <c r="B297" s="22" t="str">
        <f>IFERROR(LEFT(_xlfn.IFNA(INDEX(W2Pデータ貼り付け!B:B,MATCH(注文書!$A297,W2Pデータ貼り付け!$AM:$AM,0)),""),FIND("-",_xlfn.IFNA(INDEX(W2Pデータ貼り付け!B:B,MATCH(注文書!$A297,W2Pデータ貼り付け!$AM:$AM,0)),""))-1),_xlfn.IFNA(INDEX(W2Pデータ貼り付け!B:B,MATCH(注文書!$A297,W2Pデータ貼り付け!$AM:$AM,0)),""))</f>
        <v/>
      </c>
      <c r="C297" s="222" t="str">
        <f>_xlfn.IFNA(DATEVALUE(TEXT(INDEX(W2Pデータ貼り付け!AF:AF,MATCH(注文書!$A297,W2Pデータ貼り付け!$AM:$AM,0)),"0000!/00!/00")),"")</f>
        <v/>
      </c>
      <c r="D297" s="17" t="str">
        <f>_xlfn.IFNA(INDEX(W2Pデータ貼り付け!M:M,MATCH(注文書!$A297,W2Pデータ貼り付け!$AM:$AM,0)),"")</f>
        <v/>
      </c>
      <c r="E297" s="17" t="str">
        <f>_xlfn.IFNA(INDEX(W2Pデータ貼り付け!T:T,MATCH(注文書!$A297,W2Pデータ貼り付け!$AM:$AM,0)),"")</f>
        <v/>
      </c>
      <c r="F297" s="23" t="str" cm="1">
        <f t="array" ref="F297">_xlfn.IFNA(_xlfn.SINGLE(INDEX(CONCATENATE(W2Pデータ貼り付け!V:V,"部"),MATCH(注文書!$A297,W2Pデータ貼り付け!$AM:$AM,0))),"")</f>
        <v/>
      </c>
      <c r="G297" s="24"/>
      <c r="H297" s="24"/>
      <c r="I297" s="24"/>
    </row>
    <row r="298" spans="1:9" ht="14.25" customHeight="1" x14ac:dyDescent="0.25">
      <c r="A298" s="217"/>
      <c r="B298" s="25" t="str">
        <f>IFERROR(MID(_xlfn.IFNA(INDEX(W2Pデータ貼り付け!B:B,MATCH(注文書!$A297,W2Pデータ貼り付け!$AM:$AM,0)),""),FIND("-",_xlfn.IFNA(INDEX(W2Pデータ貼り付け!B:B,MATCH(注文書!$A297,W2Pデータ貼り付け!$AM:$AM,0)),"")),LEN(_xlfn.IFNA(INDEX(W2Pデータ貼り付け!B:B,MATCH(注文書!$A297,W2Pデータ貼り付け!$AM:$AM,0)),""))),"")</f>
        <v/>
      </c>
      <c r="C298" s="223"/>
      <c r="D298" s="18" t="str">
        <f>_xlfn.IFNA(INDEX(W2Pデータ貼り付け!N:N,MATCH(注文書!$A297,W2Pデータ貼り付け!$AM:$AM,0)),"")</f>
        <v/>
      </c>
      <c r="E298" s="18"/>
      <c r="F298" s="26" t="str">
        <f>_xlfn.IFNA(INDEX(W2Pデータ貼り付け!AK:AK,MATCH(注文書!$A297,W2Pデータ貼り付け!$AM:$AM,0)),"")</f>
        <v/>
      </c>
      <c r="G298" s="27"/>
      <c r="H298" s="27"/>
      <c r="I298" s="27"/>
    </row>
    <row r="299" spans="1:9" ht="14.25" customHeight="1" x14ac:dyDescent="0.25">
      <c r="A299" s="218"/>
      <c r="B299" s="36" t="str">
        <f ca="1">IF(B297&lt;&gt;"",TODAY(),"")</f>
        <v/>
      </c>
      <c r="C299" s="224"/>
      <c r="D299" s="19" t="str">
        <f>_xlfn.IFNA(INDEX(W2Pデータ貼り付け!O:O,MATCH(注文書!$A297,W2Pデータ貼り付け!$AM:$AM,0)),"")</f>
        <v/>
      </c>
      <c r="E299" s="19" t="str">
        <f>_xlfn.IFNA(INDEX(W2Pデータ貼り付け!U:U,MATCH(注文書!$A297,W2Pデータ貼り付け!$AM:$AM,0)),"")</f>
        <v/>
      </c>
      <c r="F299" s="28" t="str">
        <f>_xlfn.IFNA(INDEX(W2Pデータ貼り付け!AL:AL,MATCH(注文書!$A297,W2Pデータ貼り付け!$AM:$AM,0)),"")</f>
        <v/>
      </c>
      <c r="G299" s="29"/>
      <c r="H299" s="29"/>
      <c r="I299" s="29"/>
    </row>
    <row r="300" spans="1:9" ht="14.25" customHeight="1" x14ac:dyDescent="0.25">
      <c r="A300" s="216">
        <v>99</v>
      </c>
      <c r="B300" s="22" t="str">
        <f>IFERROR(LEFT(_xlfn.IFNA(INDEX(W2Pデータ貼り付け!B:B,MATCH(注文書!$A300,W2Pデータ貼り付け!$AM:$AM,0)),""),FIND("-",_xlfn.IFNA(INDEX(W2Pデータ貼り付け!B:B,MATCH(注文書!$A300,W2Pデータ貼り付け!$AM:$AM,0)),""))-1),_xlfn.IFNA(INDEX(W2Pデータ貼り付け!B:B,MATCH(注文書!$A300,W2Pデータ貼り付け!$AM:$AM,0)),""))</f>
        <v/>
      </c>
      <c r="C300" s="222" t="str">
        <f>_xlfn.IFNA(DATEVALUE(TEXT(INDEX(W2Pデータ貼り付け!AF:AF,MATCH(注文書!$A300,W2Pデータ貼り付け!$AM:$AM,0)),"0000!/00!/00")),"")</f>
        <v/>
      </c>
      <c r="D300" s="17" t="str">
        <f>_xlfn.IFNA(INDEX(W2Pデータ貼り付け!M:M,MATCH(注文書!$A300,W2Pデータ貼り付け!$AM:$AM,0)),"")</f>
        <v/>
      </c>
      <c r="E300" s="17" t="str">
        <f>_xlfn.IFNA(INDEX(W2Pデータ貼り付け!T:T,MATCH(注文書!$A300,W2Pデータ貼り付け!$AM:$AM,0)),"")</f>
        <v/>
      </c>
      <c r="F300" s="23" t="str" cm="1">
        <f t="array" ref="F300">_xlfn.IFNA(_xlfn.SINGLE(INDEX(CONCATENATE(W2Pデータ貼り付け!V:V,"部"),MATCH(注文書!$A300,W2Pデータ貼り付け!$AM:$AM,0))),"")</f>
        <v/>
      </c>
      <c r="G300" s="24"/>
      <c r="H300" s="24"/>
      <c r="I300" s="24"/>
    </row>
    <row r="301" spans="1:9" ht="14.25" customHeight="1" x14ac:dyDescent="0.25">
      <c r="A301" s="217"/>
      <c r="B301" s="25" t="str">
        <f>IFERROR(MID(_xlfn.IFNA(INDEX(W2Pデータ貼り付け!B:B,MATCH(注文書!$A300,W2Pデータ貼り付け!$AM:$AM,0)),""),FIND("-",_xlfn.IFNA(INDEX(W2Pデータ貼り付け!B:B,MATCH(注文書!$A300,W2Pデータ貼り付け!$AM:$AM,0)),"")),LEN(_xlfn.IFNA(INDEX(W2Pデータ貼り付け!B:B,MATCH(注文書!$A300,W2Pデータ貼り付け!$AM:$AM,0)),""))),"")</f>
        <v/>
      </c>
      <c r="C301" s="223"/>
      <c r="D301" s="18" t="str">
        <f>_xlfn.IFNA(INDEX(W2Pデータ貼り付け!N:N,MATCH(注文書!$A300,W2Pデータ貼り付け!$AM:$AM,0)),"")</f>
        <v/>
      </c>
      <c r="E301" s="18"/>
      <c r="F301" s="26" t="str">
        <f>_xlfn.IFNA(INDEX(W2Pデータ貼り付け!AK:AK,MATCH(注文書!$A300,W2Pデータ貼り付け!$AM:$AM,0)),"")</f>
        <v/>
      </c>
      <c r="G301" s="27"/>
      <c r="H301" s="27"/>
      <c r="I301" s="27"/>
    </row>
    <row r="302" spans="1:9" ht="14.25" customHeight="1" x14ac:dyDescent="0.25">
      <c r="A302" s="218"/>
      <c r="B302" s="36" t="str">
        <f ca="1">IF(B300&lt;&gt;"",TODAY(),"")</f>
        <v/>
      </c>
      <c r="C302" s="224"/>
      <c r="D302" s="19" t="str">
        <f>_xlfn.IFNA(INDEX(W2Pデータ貼り付け!O:O,MATCH(注文書!$A300,W2Pデータ貼り付け!$AM:$AM,0)),"")</f>
        <v/>
      </c>
      <c r="E302" s="19" t="str">
        <f>_xlfn.IFNA(INDEX(W2Pデータ貼り付け!U:U,MATCH(注文書!$A300,W2Pデータ貼り付け!$AM:$AM,0)),"")</f>
        <v/>
      </c>
      <c r="F302" s="28" t="str">
        <f>_xlfn.IFNA(INDEX(W2Pデータ貼り付け!AL:AL,MATCH(注文書!$A300,W2Pデータ貼り付け!$AM:$AM,0)),"")</f>
        <v/>
      </c>
      <c r="G302" s="29"/>
      <c r="H302" s="29"/>
      <c r="I302" s="29"/>
    </row>
    <row r="303" spans="1:9" ht="14.25" customHeight="1" x14ac:dyDescent="0.25">
      <c r="A303" s="216">
        <v>100</v>
      </c>
      <c r="B303" s="22" t="str">
        <f>IFERROR(LEFT(_xlfn.IFNA(INDEX(W2Pデータ貼り付け!B:B,MATCH(注文書!$A303,W2Pデータ貼り付け!$AM:$AM,0)),""),FIND("-",_xlfn.IFNA(INDEX(W2Pデータ貼り付け!B:B,MATCH(注文書!$A303,W2Pデータ貼り付け!$AM:$AM,0)),""))-1),_xlfn.IFNA(INDEX(W2Pデータ貼り付け!B:B,MATCH(注文書!$A303,W2Pデータ貼り付け!$AM:$AM,0)),""))</f>
        <v/>
      </c>
      <c r="C303" s="222" t="str">
        <f>_xlfn.IFNA(DATEVALUE(TEXT(INDEX(W2Pデータ貼り付け!AF:AF,MATCH(注文書!$A303,W2Pデータ貼り付け!$AM:$AM,0)),"0000!/00!/00")),"")</f>
        <v/>
      </c>
      <c r="D303" s="17" t="str">
        <f>_xlfn.IFNA(INDEX(W2Pデータ貼り付け!M:M,MATCH(注文書!$A303,W2Pデータ貼り付け!$AM:$AM,0)),"")</f>
        <v/>
      </c>
      <c r="E303" s="17" t="str">
        <f>_xlfn.IFNA(INDEX(W2Pデータ貼り付け!T:T,MATCH(注文書!$A303,W2Pデータ貼り付け!$AM:$AM,0)),"")</f>
        <v/>
      </c>
      <c r="F303" s="23" t="str" cm="1">
        <f t="array" ref="F303">_xlfn.IFNA(_xlfn.SINGLE(INDEX(CONCATENATE(W2Pデータ貼り付け!V:V,"部"),MATCH(注文書!$A303,W2Pデータ貼り付け!$AM:$AM,0))),"")</f>
        <v/>
      </c>
      <c r="G303" s="24"/>
      <c r="H303" s="24"/>
      <c r="I303" s="24"/>
    </row>
    <row r="304" spans="1:9" ht="14.25" customHeight="1" x14ac:dyDescent="0.25">
      <c r="A304" s="217"/>
      <c r="B304" s="25" t="str">
        <f>IFERROR(MID(_xlfn.IFNA(INDEX(W2Pデータ貼り付け!B:B,MATCH(注文書!$A303,W2Pデータ貼り付け!$AM:$AM,0)),""),FIND("-",_xlfn.IFNA(INDEX(W2Pデータ貼り付け!B:B,MATCH(注文書!$A303,W2Pデータ貼り付け!$AM:$AM,0)),"")),LEN(_xlfn.IFNA(INDEX(W2Pデータ貼り付け!B:B,MATCH(注文書!$A303,W2Pデータ貼り付け!$AM:$AM,0)),""))),"")</f>
        <v/>
      </c>
      <c r="C304" s="223"/>
      <c r="D304" s="18" t="str">
        <f>_xlfn.IFNA(INDEX(W2Pデータ貼り付け!N:N,MATCH(注文書!$A303,W2Pデータ貼り付け!$AM:$AM,0)),"")</f>
        <v/>
      </c>
      <c r="E304" s="18"/>
      <c r="F304" s="26" t="str">
        <f>_xlfn.IFNA(INDEX(W2Pデータ貼り付け!AK:AK,MATCH(注文書!$A303,W2Pデータ貼り付け!$AM:$AM,0)),"")</f>
        <v/>
      </c>
      <c r="G304" s="27"/>
      <c r="H304" s="27"/>
      <c r="I304" s="27"/>
    </row>
    <row r="305" spans="1:9" ht="14.25" customHeight="1" x14ac:dyDescent="0.25">
      <c r="A305" s="218"/>
      <c r="B305" s="36" t="str">
        <f ca="1">IF(B303&lt;&gt;"",TODAY(),"")</f>
        <v/>
      </c>
      <c r="C305" s="224"/>
      <c r="D305" s="19" t="str">
        <f>_xlfn.IFNA(INDEX(W2Pデータ貼り付け!O:O,MATCH(注文書!$A303,W2Pデータ貼り付け!$AM:$AM,0)),"")</f>
        <v/>
      </c>
      <c r="E305" s="19" t="str">
        <f>_xlfn.IFNA(INDEX(W2Pデータ貼り付け!U:U,MATCH(注文書!$A303,W2Pデータ貼り付け!$AM:$AM,0)),"")</f>
        <v/>
      </c>
      <c r="F305" s="28" t="str">
        <f>_xlfn.IFNA(INDEX(W2Pデータ貼り付け!AL:AL,MATCH(注文書!$A303,W2Pデータ貼り付け!$AM:$AM,0)),"")</f>
        <v/>
      </c>
      <c r="G305" s="29"/>
      <c r="H305" s="29"/>
      <c r="I305" s="29"/>
    </row>
    <row r="306" spans="1:9" ht="14.25" customHeight="1" x14ac:dyDescent="0.25">
      <c r="A306" s="216">
        <v>101</v>
      </c>
      <c r="B306" s="22" t="str">
        <f>IFERROR(LEFT(_xlfn.IFNA(INDEX(W2Pデータ貼り付け!B:B,MATCH(注文書!$A306,W2Pデータ貼り付け!$AM:$AM,0)),""),FIND("-",_xlfn.IFNA(INDEX(W2Pデータ貼り付け!B:B,MATCH(注文書!$A306,W2Pデータ貼り付け!$AM:$AM,0)),""))-1),_xlfn.IFNA(INDEX(W2Pデータ貼り付け!B:B,MATCH(注文書!$A306,W2Pデータ貼り付け!$AM:$AM,0)),""))</f>
        <v/>
      </c>
      <c r="C306" s="222" t="str">
        <f>_xlfn.IFNA(DATEVALUE(TEXT(INDEX(W2Pデータ貼り付け!AF:AF,MATCH(注文書!$A306,W2Pデータ貼り付け!$AM:$AM,0)),"0000!/00!/00")),"")</f>
        <v/>
      </c>
      <c r="D306" s="17" t="str">
        <f>_xlfn.IFNA(INDEX(W2Pデータ貼り付け!M:M,MATCH(注文書!$A306,W2Pデータ貼り付け!$AM:$AM,0)),"")</f>
        <v/>
      </c>
      <c r="E306" s="17" t="str">
        <f>_xlfn.IFNA(INDEX(W2Pデータ貼り付け!T:T,MATCH(注文書!$A306,W2Pデータ貼り付け!$AM:$AM,0)),"")</f>
        <v/>
      </c>
      <c r="F306" s="23" t="str" cm="1">
        <f t="array" ref="F306">_xlfn.IFNA(_xlfn.SINGLE(INDEX(CONCATENATE(W2Pデータ貼り付け!V:V,"部"),MATCH(注文書!$A306,W2Pデータ貼り付け!$AM:$AM,0))),"")</f>
        <v/>
      </c>
      <c r="G306" s="24"/>
      <c r="H306" s="24"/>
      <c r="I306" s="24"/>
    </row>
    <row r="307" spans="1:9" ht="14.25" customHeight="1" x14ac:dyDescent="0.25">
      <c r="A307" s="217"/>
      <c r="B307" s="25" t="str">
        <f>IFERROR(MID(_xlfn.IFNA(INDEX(W2Pデータ貼り付け!B:B,MATCH(注文書!$A306,W2Pデータ貼り付け!$AM:$AM,0)),""),FIND("-",_xlfn.IFNA(INDEX(W2Pデータ貼り付け!B:B,MATCH(注文書!$A306,W2Pデータ貼り付け!$AM:$AM,0)),"")),LEN(_xlfn.IFNA(INDEX(W2Pデータ貼り付け!B:B,MATCH(注文書!$A306,W2Pデータ貼り付け!$AM:$AM,0)),""))),"")</f>
        <v/>
      </c>
      <c r="C307" s="223"/>
      <c r="D307" s="18" t="str">
        <f>_xlfn.IFNA(INDEX(W2Pデータ貼り付け!N:N,MATCH(注文書!$A306,W2Pデータ貼り付け!$AM:$AM,0)),"")</f>
        <v/>
      </c>
      <c r="E307" s="18"/>
      <c r="F307" s="26" t="str">
        <f>_xlfn.IFNA(INDEX(W2Pデータ貼り付け!AK:AK,MATCH(注文書!$A306,W2Pデータ貼り付け!$AM:$AM,0)),"")</f>
        <v/>
      </c>
      <c r="G307" s="27"/>
      <c r="H307" s="27"/>
      <c r="I307" s="27"/>
    </row>
    <row r="308" spans="1:9" ht="14.25" customHeight="1" x14ac:dyDescent="0.25">
      <c r="A308" s="218"/>
      <c r="B308" s="36" t="str">
        <f ca="1">IF(B306&lt;&gt;"",TODAY(),"")</f>
        <v/>
      </c>
      <c r="C308" s="224"/>
      <c r="D308" s="19" t="str">
        <f>_xlfn.IFNA(INDEX(W2Pデータ貼り付け!O:O,MATCH(注文書!$A306,W2Pデータ貼り付け!$AM:$AM,0)),"")</f>
        <v/>
      </c>
      <c r="E308" s="19" t="str">
        <f>_xlfn.IFNA(INDEX(W2Pデータ貼り付け!U:U,MATCH(注文書!$A306,W2Pデータ貼り付け!$AM:$AM,0)),"")</f>
        <v/>
      </c>
      <c r="F308" s="28" t="str">
        <f>_xlfn.IFNA(INDEX(W2Pデータ貼り付け!AL:AL,MATCH(注文書!$A306,W2Pデータ貼り付け!$AM:$AM,0)),"")</f>
        <v/>
      </c>
      <c r="G308" s="29"/>
      <c r="H308" s="29"/>
      <c r="I308" s="29"/>
    </row>
    <row r="309" spans="1:9" ht="14.25" customHeight="1" x14ac:dyDescent="0.25">
      <c r="A309" s="216">
        <v>102</v>
      </c>
      <c r="B309" s="22" t="str">
        <f>IFERROR(LEFT(_xlfn.IFNA(INDEX(W2Pデータ貼り付け!B:B,MATCH(注文書!$A309,W2Pデータ貼り付け!$AM:$AM,0)),""),FIND("-",_xlfn.IFNA(INDEX(W2Pデータ貼り付け!B:B,MATCH(注文書!$A309,W2Pデータ貼り付け!$AM:$AM,0)),""))-1),_xlfn.IFNA(INDEX(W2Pデータ貼り付け!B:B,MATCH(注文書!$A309,W2Pデータ貼り付け!$AM:$AM,0)),""))</f>
        <v/>
      </c>
      <c r="C309" s="222" t="str">
        <f>_xlfn.IFNA(DATEVALUE(TEXT(INDEX(W2Pデータ貼り付け!AF:AF,MATCH(注文書!$A309,W2Pデータ貼り付け!$AM:$AM,0)),"0000!/00!/00")),"")</f>
        <v/>
      </c>
      <c r="D309" s="17" t="str">
        <f>_xlfn.IFNA(INDEX(W2Pデータ貼り付け!M:M,MATCH(注文書!$A309,W2Pデータ貼り付け!$AM:$AM,0)),"")</f>
        <v/>
      </c>
      <c r="E309" s="17" t="str">
        <f>_xlfn.IFNA(INDEX(W2Pデータ貼り付け!T:T,MATCH(注文書!$A309,W2Pデータ貼り付け!$AM:$AM,0)),"")</f>
        <v/>
      </c>
      <c r="F309" s="23" t="str" cm="1">
        <f t="array" ref="F309">_xlfn.IFNA(_xlfn.SINGLE(INDEX(CONCATENATE(W2Pデータ貼り付け!V:V,"部"),MATCH(注文書!$A309,W2Pデータ貼り付け!$AM:$AM,0))),"")</f>
        <v/>
      </c>
      <c r="G309" s="24"/>
      <c r="H309" s="24"/>
      <c r="I309" s="24"/>
    </row>
    <row r="310" spans="1:9" ht="14.25" customHeight="1" x14ac:dyDescent="0.25">
      <c r="A310" s="217"/>
      <c r="B310" s="25" t="str">
        <f>IFERROR(MID(_xlfn.IFNA(INDEX(W2Pデータ貼り付け!B:B,MATCH(注文書!$A309,W2Pデータ貼り付け!$AM:$AM,0)),""),FIND("-",_xlfn.IFNA(INDEX(W2Pデータ貼り付け!B:B,MATCH(注文書!$A309,W2Pデータ貼り付け!$AM:$AM,0)),"")),LEN(_xlfn.IFNA(INDEX(W2Pデータ貼り付け!B:B,MATCH(注文書!$A309,W2Pデータ貼り付け!$AM:$AM,0)),""))),"")</f>
        <v/>
      </c>
      <c r="C310" s="223"/>
      <c r="D310" s="18" t="str">
        <f>_xlfn.IFNA(INDEX(W2Pデータ貼り付け!N:N,MATCH(注文書!$A309,W2Pデータ貼り付け!$AM:$AM,0)),"")</f>
        <v/>
      </c>
      <c r="E310" s="18"/>
      <c r="F310" s="26" t="str">
        <f>_xlfn.IFNA(INDEX(W2Pデータ貼り付け!AK:AK,MATCH(注文書!$A309,W2Pデータ貼り付け!$AM:$AM,0)),"")</f>
        <v/>
      </c>
      <c r="G310" s="27"/>
      <c r="H310" s="27"/>
      <c r="I310" s="27"/>
    </row>
    <row r="311" spans="1:9" ht="14.25" customHeight="1" x14ac:dyDescent="0.25">
      <c r="A311" s="218"/>
      <c r="B311" s="36" t="str">
        <f ca="1">IF(B309&lt;&gt;"",TODAY(),"")</f>
        <v/>
      </c>
      <c r="C311" s="224"/>
      <c r="D311" s="19" t="str">
        <f>_xlfn.IFNA(INDEX(W2Pデータ貼り付け!O:O,MATCH(注文書!$A309,W2Pデータ貼り付け!$AM:$AM,0)),"")</f>
        <v/>
      </c>
      <c r="E311" s="19" t="str">
        <f>_xlfn.IFNA(INDEX(W2Pデータ貼り付け!U:U,MATCH(注文書!$A309,W2Pデータ貼り付け!$AM:$AM,0)),"")</f>
        <v/>
      </c>
      <c r="F311" s="28" t="str">
        <f>_xlfn.IFNA(INDEX(W2Pデータ貼り付け!AL:AL,MATCH(注文書!$A309,W2Pデータ貼り付け!$AM:$AM,0)),"")</f>
        <v/>
      </c>
      <c r="G311" s="29"/>
      <c r="H311" s="29"/>
      <c r="I311" s="29"/>
    </row>
    <row r="312" spans="1:9" ht="14.25" customHeight="1" x14ac:dyDescent="0.25">
      <c r="A312" s="216">
        <v>103</v>
      </c>
      <c r="B312" s="22" t="str">
        <f>IFERROR(LEFT(_xlfn.IFNA(INDEX(W2Pデータ貼り付け!B:B,MATCH(注文書!$A312,W2Pデータ貼り付け!$AM:$AM,0)),""),FIND("-",_xlfn.IFNA(INDEX(W2Pデータ貼り付け!B:B,MATCH(注文書!$A312,W2Pデータ貼り付け!$AM:$AM,0)),""))-1),_xlfn.IFNA(INDEX(W2Pデータ貼り付け!B:B,MATCH(注文書!$A312,W2Pデータ貼り付け!$AM:$AM,0)),""))</f>
        <v/>
      </c>
      <c r="C312" s="222" t="str">
        <f>_xlfn.IFNA(DATEVALUE(TEXT(INDEX(W2Pデータ貼り付け!AF:AF,MATCH(注文書!$A312,W2Pデータ貼り付け!$AM:$AM,0)),"0000!/00!/00")),"")</f>
        <v/>
      </c>
      <c r="D312" s="17" t="str">
        <f>_xlfn.IFNA(INDEX(W2Pデータ貼り付け!M:M,MATCH(注文書!$A312,W2Pデータ貼り付け!$AM:$AM,0)),"")</f>
        <v/>
      </c>
      <c r="E312" s="17" t="str">
        <f>_xlfn.IFNA(INDEX(W2Pデータ貼り付け!T:T,MATCH(注文書!$A312,W2Pデータ貼り付け!$AM:$AM,0)),"")</f>
        <v/>
      </c>
      <c r="F312" s="23" t="str" cm="1">
        <f t="array" ref="F312">_xlfn.IFNA(_xlfn.SINGLE(INDEX(CONCATENATE(W2Pデータ貼り付け!V:V,"部"),MATCH(注文書!$A312,W2Pデータ貼り付け!$AM:$AM,0))),"")</f>
        <v/>
      </c>
      <c r="G312" s="24"/>
      <c r="H312" s="24"/>
      <c r="I312" s="24"/>
    </row>
    <row r="313" spans="1:9" ht="14.25" customHeight="1" x14ac:dyDescent="0.25">
      <c r="A313" s="217"/>
      <c r="B313" s="25" t="str">
        <f>IFERROR(MID(_xlfn.IFNA(INDEX(W2Pデータ貼り付け!B:B,MATCH(注文書!$A312,W2Pデータ貼り付け!$AM:$AM,0)),""),FIND("-",_xlfn.IFNA(INDEX(W2Pデータ貼り付け!B:B,MATCH(注文書!$A312,W2Pデータ貼り付け!$AM:$AM,0)),"")),LEN(_xlfn.IFNA(INDEX(W2Pデータ貼り付け!B:B,MATCH(注文書!$A312,W2Pデータ貼り付け!$AM:$AM,0)),""))),"")</f>
        <v/>
      </c>
      <c r="C313" s="223"/>
      <c r="D313" s="18" t="str">
        <f>_xlfn.IFNA(INDEX(W2Pデータ貼り付け!N:N,MATCH(注文書!$A312,W2Pデータ貼り付け!$AM:$AM,0)),"")</f>
        <v/>
      </c>
      <c r="E313" s="18"/>
      <c r="F313" s="26" t="str">
        <f>_xlfn.IFNA(INDEX(W2Pデータ貼り付け!AK:AK,MATCH(注文書!$A312,W2Pデータ貼り付け!$AM:$AM,0)),"")</f>
        <v/>
      </c>
      <c r="G313" s="27"/>
      <c r="H313" s="27"/>
      <c r="I313" s="27"/>
    </row>
    <row r="314" spans="1:9" ht="14.25" customHeight="1" x14ac:dyDescent="0.25">
      <c r="A314" s="218"/>
      <c r="B314" s="36" t="str">
        <f ca="1">IF(B312&lt;&gt;"",TODAY(),"")</f>
        <v/>
      </c>
      <c r="C314" s="224"/>
      <c r="D314" s="19" t="str">
        <f>_xlfn.IFNA(INDEX(W2Pデータ貼り付け!O:O,MATCH(注文書!$A312,W2Pデータ貼り付け!$AM:$AM,0)),"")</f>
        <v/>
      </c>
      <c r="E314" s="19" t="str">
        <f>_xlfn.IFNA(INDEX(W2Pデータ貼り付け!U:U,MATCH(注文書!$A312,W2Pデータ貼り付け!$AM:$AM,0)),"")</f>
        <v/>
      </c>
      <c r="F314" s="28" t="str">
        <f>_xlfn.IFNA(INDEX(W2Pデータ貼り付け!AL:AL,MATCH(注文書!$A312,W2Pデータ貼り付け!$AM:$AM,0)),"")</f>
        <v/>
      </c>
      <c r="G314" s="29"/>
      <c r="H314" s="29"/>
      <c r="I314" s="29"/>
    </row>
    <row r="315" spans="1:9" ht="14.25" customHeight="1" x14ac:dyDescent="0.25">
      <c r="A315" s="216">
        <v>104</v>
      </c>
      <c r="B315" s="22" t="str">
        <f>IFERROR(LEFT(_xlfn.IFNA(INDEX(W2Pデータ貼り付け!B:B,MATCH(注文書!$A315,W2Pデータ貼り付け!$AM:$AM,0)),""),FIND("-",_xlfn.IFNA(INDEX(W2Pデータ貼り付け!B:B,MATCH(注文書!$A315,W2Pデータ貼り付け!$AM:$AM,0)),""))-1),_xlfn.IFNA(INDEX(W2Pデータ貼り付け!B:B,MATCH(注文書!$A315,W2Pデータ貼り付け!$AM:$AM,0)),""))</f>
        <v/>
      </c>
      <c r="C315" s="222" t="str">
        <f>_xlfn.IFNA(DATEVALUE(TEXT(INDEX(W2Pデータ貼り付け!AF:AF,MATCH(注文書!$A315,W2Pデータ貼り付け!$AM:$AM,0)),"0000!/00!/00")),"")</f>
        <v/>
      </c>
      <c r="D315" s="17" t="str">
        <f>_xlfn.IFNA(INDEX(W2Pデータ貼り付け!M:M,MATCH(注文書!$A315,W2Pデータ貼り付け!$AM:$AM,0)),"")</f>
        <v/>
      </c>
      <c r="E315" s="17" t="str">
        <f>_xlfn.IFNA(INDEX(W2Pデータ貼り付け!T:T,MATCH(注文書!$A315,W2Pデータ貼り付け!$AM:$AM,0)),"")</f>
        <v/>
      </c>
      <c r="F315" s="23" t="str" cm="1">
        <f t="array" ref="F315">_xlfn.IFNA(_xlfn.SINGLE(INDEX(CONCATENATE(W2Pデータ貼り付け!V:V,"部"),MATCH(注文書!$A315,W2Pデータ貼り付け!$AM:$AM,0))),"")</f>
        <v/>
      </c>
      <c r="G315" s="24"/>
      <c r="H315" s="24"/>
      <c r="I315" s="24"/>
    </row>
    <row r="316" spans="1:9" ht="14.25" customHeight="1" x14ac:dyDescent="0.25">
      <c r="A316" s="217"/>
      <c r="B316" s="25" t="str">
        <f>IFERROR(MID(_xlfn.IFNA(INDEX(W2Pデータ貼り付け!B:B,MATCH(注文書!$A315,W2Pデータ貼り付け!$AM:$AM,0)),""),FIND("-",_xlfn.IFNA(INDEX(W2Pデータ貼り付け!B:B,MATCH(注文書!$A315,W2Pデータ貼り付け!$AM:$AM,0)),"")),LEN(_xlfn.IFNA(INDEX(W2Pデータ貼り付け!B:B,MATCH(注文書!$A315,W2Pデータ貼り付け!$AM:$AM,0)),""))),"")</f>
        <v/>
      </c>
      <c r="C316" s="223"/>
      <c r="D316" s="18" t="str">
        <f>_xlfn.IFNA(INDEX(W2Pデータ貼り付け!N:N,MATCH(注文書!$A315,W2Pデータ貼り付け!$AM:$AM,0)),"")</f>
        <v/>
      </c>
      <c r="E316" s="18"/>
      <c r="F316" s="26" t="str">
        <f>_xlfn.IFNA(INDEX(W2Pデータ貼り付け!AK:AK,MATCH(注文書!$A315,W2Pデータ貼り付け!$AM:$AM,0)),"")</f>
        <v/>
      </c>
      <c r="G316" s="27"/>
      <c r="H316" s="27"/>
      <c r="I316" s="27"/>
    </row>
    <row r="317" spans="1:9" ht="14.25" customHeight="1" x14ac:dyDescent="0.25">
      <c r="A317" s="218"/>
      <c r="B317" s="36" t="str">
        <f ca="1">IF(B315&lt;&gt;"",TODAY(),"")</f>
        <v/>
      </c>
      <c r="C317" s="224"/>
      <c r="D317" s="19" t="str">
        <f>_xlfn.IFNA(INDEX(W2Pデータ貼り付け!O:O,MATCH(注文書!$A315,W2Pデータ貼り付け!$AM:$AM,0)),"")</f>
        <v/>
      </c>
      <c r="E317" s="19" t="str">
        <f>_xlfn.IFNA(INDEX(W2Pデータ貼り付け!U:U,MATCH(注文書!$A315,W2Pデータ貼り付け!$AM:$AM,0)),"")</f>
        <v/>
      </c>
      <c r="F317" s="28" t="str">
        <f>_xlfn.IFNA(INDEX(W2Pデータ貼り付け!AL:AL,MATCH(注文書!$A315,W2Pデータ貼り付け!$AM:$AM,0)),"")</f>
        <v/>
      </c>
      <c r="G317" s="29"/>
      <c r="H317" s="29"/>
      <c r="I317" s="29"/>
    </row>
    <row r="318" spans="1:9" ht="14.25" customHeight="1" x14ac:dyDescent="0.25">
      <c r="A318" s="216">
        <v>105</v>
      </c>
      <c r="B318" s="22" t="str">
        <f>IFERROR(LEFT(_xlfn.IFNA(INDEX(W2Pデータ貼り付け!B:B,MATCH(注文書!$A318,W2Pデータ貼り付け!$AM:$AM,0)),""),FIND("-",_xlfn.IFNA(INDEX(W2Pデータ貼り付け!B:B,MATCH(注文書!$A318,W2Pデータ貼り付け!$AM:$AM,0)),""))-1),_xlfn.IFNA(INDEX(W2Pデータ貼り付け!B:B,MATCH(注文書!$A318,W2Pデータ貼り付け!$AM:$AM,0)),""))</f>
        <v/>
      </c>
      <c r="C318" s="222" t="str">
        <f>_xlfn.IFNA(DATEVALUE(TEXT(INDEX(W2Pデータ貼り付け!AF:AF,MATCH(注文書!$A318,W2Pデータ貼り付け!$AM:$AM,0)),"0000!/00!/00")),"")</f>
        <v/>
      </c>
      <c r="D318" s="17" t="str">
        <f>_xlfn.IFNA(INDEX(W2Pデータ貼り付け!M:M,MATCH(注文書!$A318,W2Pデータ貼り付け!$AM:$AM,0)),"")</f>
        <v/>
      </c>
      <c r="E318" s="17" t="str">
        <f>_xlfn.IFNA(INDEX(W2Pデータ貼り付け!T:T,MATCH(注文書!$A318,W2Pデータ貼り付け!$AM:$AM,0)),"")</f>
        <v/>
      </c>
      <c r="F318" s="23" t="str" cm="1">
        <f t="array" ref="F318">_xlfn.IFNA(_xlfn.SINGLE(INDEX(CONCATENATE(W2Pデータ貼り付け!V:V,"部"),MATCH(注文書!$A318,W2Pデータ貼り付け!$AM:$AM,0))),"")</f>
        <v/>
      </c>
      <c r="G318" s="24"/>
      <c r="H318" s="24"/>
      <c r="I318" s="24"/>
    </row>
    <row r="319" spans="1:9" ht="14.25" customHeight="1" x14ac:dyDescent="0.25">
      <c r="A319" s="217"/>
      <c r="B319" s="25" t="str">
        <f>IFERROR(MID(_xlfn.IFNA(INDEX(W2Pデータ貼り付け!B:B,MATCH(注文書!$A318,W2Pデータ貼り付け!$AM:$AM,0)),""),FIND("-",_xlfn.IFNA(INDEX(W2Pデータ貼り付け!B:B,MATCH(注文書!$A318,W2Pデータ貼り付け!$AM:$AM,0)),"")),LEN(_xlfn.IFNA(INDEX(W2Pデータ貼り付け!B:B,MATCH(注文書!$A318,W2Pデータ貼り付け!$AM:$AM,0)),""))),"")</f>
        <v/>
      </c>
      <c r="C319" s="223"/>
      <c r="D319" s="18" t="str">
        <f>_xlfn.IFNA(INDEX(W2Pデータ貼り付け!N:N,MATCH(注文書!$A318,W2Pデータ貼り付け!$AM:$AM,0)),"")</f>
        <v/>
      </c>
      <c r="E319" s="18"/>
      <c r="F319" s="26" t="str">
        <f>_xlfn.IFNA(INDEX(W2Pデータ貼り付け!AK:AK,MATCH(注文書!$A318,W2Pデータ貼り付け!$AM:$AM,0)),"")</f>
        <v/>
      </c>
      <c r="G319" s="27"/>
      <c r="H319" s="27"/>
      <c r="I319" s="27"/>
    </row>
    <row r="320" spans="1:9" ht="14.25" customHeight="1" x14ac:dyDescent="0.25">
      <c r="A320" s="218"/>
      <c r="B320" s="36" t="str">
        <f ca="1">IF(B318&lt;&gt;"",TODAY(),"")</f>
        <v/>
      </c>
      <c r="C320" s="224"/>
      <c r="D320" s="19" t="str">
        <f>_xlfn.IFNA(INDEX(W2Pデータ貼り付け!O:O,MATCH(注文書!$A318,W2Pデータ貼り付け!$AM:$AM,0)),"")</f>
        <v/>
      </c>
      <c r="E320" s="19" t="str">
        <f>_xlfn.IFNA(INDEX(W2Pデータ貼り付け!U:U,MATCH(注文書!$A318,W2Pデータ貼り付け!$AM:$AM,0)),"")</f>
        <v/>
      </c>
      <c r="F320" s="28" t="str">
        <f>_xlfn.IFNA(INDEX(W2Pデータ貼り付け!AL:AL,MATCH(注文書!$A318,W2Pデータ貼り付け!$AM:$AM,0)),"")</f>
        <v/>
      </c>
      <c r="G320" s="29"/>
      <c r="H320" s="29"/>
      <c r="I320" s="29"/>
    </row>
    <row r="321" spans="1:9" ht="14.25" customHeight="1" x14ac:dyDescent="0.25">
      <c r="A321" s="216">
        <v>106</v>
      </c>
      <c r="B321" s="22" t="str">
        <f>IFERROR(LEFT(_xlfn.IFNA(INDEX(W2Pデータ貼り付け!B:B,MATCH(注文書!$A321,W2Pデータ貼り付け!$AM:$AM,0)),""),FIND("-",_xlfn.IFNA(INDEX(W2Pデータ貼り付け!B:B,MATCH(注文書!$A321,W2Pデータ貼り付け!$AM:$AM,0)),""))-1),_xlfn.IFNA(INDEX(W2Pデータ貼り付け!B:B,MATCH(注文書!$A321,W2Pデータ貼り付け!$AM:$AM,0)),""))</f>
        <v/>
      </c>
      <c r="C321" s="222" t="str">
        <f>_xlfn.IFNA(DATEVALUE(TEXT(INDEX(W2Pデータ貼り付け!AF:AF,MATCH(注文書!$A321,W2Pデータ貼り付け!$AM:$AM,0)),"0000!/00!/00")),"")</f>
        <v/>
      </c>
      <c r="D321" s="17" t="str">
        <f>_xlfn.IFNA(INDEX(W2Pデータ貼り付け!M:M,MATCH(注文書!$A321,W2Pデータ貼り付け!$AM:$AM,0)),"")</f>
        <v/>
      </c>
      <c r="E321" s="17" t="str">
        <f>_xlfn.IFNA(INDEX(W2Pデータ貼り付け!T:T,MATCH(注文書!$A321,W2Pデータ貼り付け!$AM:$AM,0)),"")</f>
        <v/>
      </c>
      <c r="F321" s="23" t="str" cm="1">
        <f t="array" ref="F321">_xlfn.IFNA(_xlfn.SINGLE(INDEX(CONCATENATE(W2Pデータ貼り付け!V:V,"部"),MATCH(注文書!$A321,W2Pデータ貼り付け!$AM:$AM,0))),"")</f>
        <v/>
      </c>
      <c r="G321" s="24"/>
      <c r="H321" s="24"/>
      <c r="I321" s="24"/>
    </row>
    <row r="322" spans="1:9" ht="14.25" customHeight="1" x14ac:dyDescent="0.25">
      <c r="A322" s="217"/>
      <c r="B322" s="25" t="str">
        <f>IFERROR(MID(_xlfn.IFNA(INDEX(W2Pデータ貼り付け!B:B,MATCH(注文書!$A321,W2Pデータ貼り付け!$AM:$AM,0)),""),FIND("-",_xlfn.IFNA(INDEX(W2Pデータ貼り付け!B:B,MATCH(注文書!$A321,W2Pデータ貼り付け!$AM:$AM,0)),"")),LEN(_xlfn.IFNA(INDEX(W2Pデータ貼り付け!B:B,MATCH(注文書!$A321,W2Pデータ貼り付け!$AM:$AM,0)),""))),"")</f>
        <v/>
      </c>
      <c r="C322" s="223"/>
      <c r="D322" s="18" t="str">
        <f>_xlfn.IFNA(INDEX(W2Pデータ貼り付け!N:N,MATCH(注文書!$A321,W2Pデータ貼り付け!$AM:$AM,0)),"")</f>
        <v/>
      </c>
      <c r="E322" s="18"/>
      <c r="F322" s="26" t="str">
        <f>_xlfn.IFNA(INDEX(W2Pデータ貼り付け!AK:AK,MATCH(注文書!$A321,W2Pデータ貼り付け!$AM:$AM,0)),"")</f>
        <v/>
      </c>
      <c r="G322" s="27"/>
      <c r="H322" s="27"/>
      <c r="I322" s="27"/>
    </row>
    <row r="323" spans="1:9" ht="14.25" customHeight="1" x14ac:dyDescent="0.25">
      <c r="A323" s="218"/>
      <c r="B323" s="36" t="str">
        <f ca="1">IF(B321&lt;&gt;"",TODAY(),"")</f>
        <v/>
      </c>
      <c r="C323" s="224"/>
      <c r="D323" s="19" t="str">
        <f>_xlfn.IFNA(INDEX(W2Pデータ貼り付け!O:O,MATCH(注文書!$A321,W2Pデータ貼り付け!$AM:$AM,0)),"")</f>
        <v/>
      </c>
      <c r="E323" s="19" t="str">
        <f>_xlfn.IFNA(INDEX(W2Pデータ貼り付け!U:U,MATCH(注文書!$A321,W2Pデータ貼り付け!$AM:$AM,0)),"")</f>
        <v/>
      </c>
      <c r="F323" s="28" t="str">
        <f>_xlfn.IFNA(INDEX(W2Pデータ貼り付け!AL:AL,MATCH(注文書!$A321,W2Pデータ貼り付け!$AM:$AM,0)),"")</f>
        <v/>
      </c>
      <c r="G323" s="29"/>
      <c r="H323" s="29"/>
      <c r="I323" s="29"/>
    </row>
    <row r="324" spans="1:9" ht="14.25" customHeight="1" x14ac:dyDescent="0.25">
      <c r="A324" s="216">
        <v>107</v>
      </c>
      <c r="B324" s="22" t="str">
        <f>IFERROR(LEFT(_xlfn.IFNA(INDEX(W2Pデータ貼り付け!B:B,MATCH(注文書!$A324,W2Pデータ貼り付け!$AM:$AM,0)),""),FIND("-",_xlfn.IFNA(INDEX(W2Pデータ貼り付け!B:B,MATCH(注文書!$A324,W2Pデータ貼り付け!$AM:$AM,0)),""))-1),_xlfn.IFNA(INDEX(W2Pデータ貼り付け!B:B,MATCH(注文書!$A324,W2Pデータ貼り付け!$AM:$AM,0)),""))</f>
        <v/>
      </c>
      <c r="C324" s="222" t="str">
        <f>_xlfn.IFNA(DATEVALUE(TEXT(INDEX(W2Pデータ貼り付け!AF:AF,MATCH(注文書!$A324,W2Pデータ貼り付け!$AM:$AM,0)),"0000!/00!/00")),"")</f>
        <v/>
      </c>
      <c r="D324" s="17" t="str">
        <f>_xlfn.IFNA(INDEX(W2Pデータ貼り付け!M:M,MATCH(注文書!$A324,W2Pデータ貼り付け!$AM:$AM,0)),"")</f>
        <v/>
      </c>
      <c r="E324" s="17" t="str">
        <f>_xlfn.IFNA(INDEX(W2Pデータ貼り付け!T:T,MATCH(注文書!$A324,W2Pデータ貼り付け!$AM:$AM,0)),"")</f>
        <v/>
      </c>
      <c r="F324" s="23" t="str" cm="1">
        <f t="array" ref="F324">_xlfn.IFNA(_xlfn.SINGLE(INDEX(CONCATENATE(W2Pデータ貼り付け!V:V,"部"),MATCH(注文書!$A324,W2Pデータ貼り付け!$AM:$AM,0))),"")</f>
        <v/>
      </c>
      <c r="G324" s="24"/>
      <c r="H324" s="24"/>
      <c r="I324" s="24"/>
    </row>
    <row r="325" spans="1:9" ht="14.25" customHeight="1" x14ac:dyDescent="0.25">
      <c r="A325" s="217"/>
      <c r="B325" s="25" t="str">
        <f>IFERROR(MID(_xlfn.IFNA(INDEX(W2Pデータ貼り付け!B:B,MATCH(注文書!$A324,W2Pデータ貼り付け!$AM:$AM,0)),""),FIND("-",_xlfn.IFNA(INDEX(W2Pデータ貼り付け!B:B,MATCH(注文書!$A324,W2Pデータ貼り付け!$AM:$AM,0)),"")),LEN(_xlfn.IFNA(INDEX(W2Pデータ貼り付け!B:B,MATCH(注文書!$A324,W2Pデータ貼り付け!$AM:$AM,0)),""))),"")</f>
        <v/>
      </c>
      <c r="C325" s="223"/>
      <c r="D325" s="18" t="str">
        <f>_xlfn.IFNA(INDEX(W2Pデータ貼り付け!N:N,MATCH(注文書!$A324,W2Pデータ貼り付け!$AM:$AM,0)),"")</f>
        <v/>
      </c>
      <c r="E325" s="18"/>
      <c r="F325" s="26" t="str">
        <f>_xlfn.IFNA(INDEX(W2Pデータ貼り付け!AK:AK,MATCH(注文書!$A324,W2Pデータ貼り付け!$AM:$AM,0)),"")</f>
        <v/>
      </c>
      <c r="G325" s="27"/>
      <c r="H325" s="27"/>
      <c r="I325" s="27"/>
    </row>
    <row r="326" spans="1:9" ht="14.25" customHeight="1" x14ac:dyDescent="0.25">
      <c r="A326" s="218"/>
      <c r="B326" s="36" t="str">
        <f ca="1">IF(B324&lt;&gt;"",TODAY(),"")</f>
        <v/>
      </c>
      <c r="C326" s="224"/>
      <c r="D326" s="19" t="str">
        <f>_xlfn.IFNA(INDEX(W2Pデータ貼り付け!O:O,MATCH(注文書!$A324,W2Pデータ貼り付け!$AM:$AM,0)),"")</f>
        <v/>
      </c>
      <c r="E326" s="19" t="str">
        <f>_xlfn.IFNA(INDEX(W2Pデータ貼り付け!U:U,MATCH(注文書!$A324,W2Pデータ貼り付け!$AM:$AM,0)),"")</f>
        <v/>
      </c>
      <c r="F326" s="28" t="str">
        <f>_xlfn.IFNA(INDEX(W2Pデータ貼り付け!AL:AL,MATCH(注文書!$A324,W2Pデータ貼り付け!$AM:$AM,0)),"")</f>
        <v/>
      </c>
      <c r="G326" s="29"/>
      <c r="H326" s="29"/>
      <c r="I326" s="29"/>
    </row>
    <row r="327" spans="1:9" ht="14.25" customHeight="1" x14ac:dyDescent="0.25">
      <c r="A327" s="216">
        <v>108</v>
      </c>
      <c r="B327" s="22" t="str">
        <f>IFERROR(LEFT(_xlfn.IFNA(INDEX(W2Pデータ貼り付け!B:B,MATCH(注文書!$A327,W2Pデータ貼り付け!$AM:$AM,0)),""),FIND("-",_xlfn.IFNA(INDEX(W2Pデータ貼り付け!B:B,MATCH(注文書!$A327,W2Pデータ貼り付け!$AM:$AM,0)),""))-1),_xlfn.IFNA(INDEX(W2Pデータ貼り付け!B:B,MATCH(注文書!$A327,W2Pデータ貼り付け!$AM:$AM,0)),""))</f>
        <v/>
      </c>
      <c r="C327" s="222" t="str">
        <f>_xlfn.IFNA(DATEVALUE(TEXT(INDEX(W2Pデータ貼り付け!AF:AF,MATCH(注文書!$A327,W2Pデータ貼り付け!$AM:$AM,0)),"0000!/00!/00")),"")</f>
        <v/>
      </c>
      <c r="D327" s="17" t="str">
        <f>_xlfn.IFNA(INDEX(W2Pデータ貼り付け!M:M,MATCH(注文書!$A327,W2Pデータ貼り付け!$AM:$AM,0)),"")</f>
        <v/>
      </c>
      <c r="E327" s="17" t="str">
        <f>_xlfn.IFNA(INDEX(W2Pデータ貼り付け!T:T,MATCH(注文書!$A327,W2Pデータ貼り付け!$AM:$AM,0)),"")</f>
        <v/>
      </c>
      <c r="F327" s="23" t="str" cm="1">
        <f t="array" ref="F327">_xlfn.IFNA(_xlfn.SINGLE(INDEX(CONCATENATE(W2Pデータ貼り付け!V:V,"部"),MATCH(注文書!$A327,W2Pデータ貼り付け!$AM:$AM,0))),"")</f>
        <v/>
      </c>
      <c r="G327" s="24"/>
      <c r="H327" s="24"/>
      <c r="I327" s="24"/>
    </row>
    <row r="328" spans="1:9" ht="14.25" customHeight="1" x14ac:dyDescent="0.25">
      <c r="A328" s="217"/>
      <c r="B328" s="25" t="str">
        <f>IFERROR(MID(_xlfn.IFNA(INDEX(W2Pデータ貼り付け!B:B,MATCH(注文書!$A327,W2Pデータ貼り付け!$AM:$AM,0)),""),FIND("-",_xlfn.IFNA(INDEX(W2Pデータ貼り付け!B:B,MATCH(注文書!$A327,W2Pデータ貼り付け!$AM:$AM,0)),"")),LEN(_xlfn.IFNA(INDEX(W2Pデータ貼り付け!B:B,MATCH(注文書!$A327,W2Pデータ貼り付け!$AM:$AM,0)),""))),"")</f>
        <v/>
      </c>
      <c r="C328" s="223"/>
      <c r="D328" s="18" t="str">
        <f>_xlfn.IFNA(INDEX(W2Pデータ貼り付け!N:N,MATCH(注文書!$A327,W2Pデータ貼り付け!$AM:$AM,0)),"")</f>
        <v/>
      </c>
      <c r="E328" s="18"/>
      <c r="F328" s="26" t="str">
        <f>_xlfn.IFNA(INDEX(W2Pデータ貼り付け!AK:AK,MATCH(注文書!$A327,W2Pデータ貼り付け!$AM:$AM,0)),"")</f>
        <v/>
      </c>
      <c r="G328" s="27"/>
      <c r="H328" s="27"/>
      <c r="I328" s="27"/>
    </row>
    <row r="329" spans="1:9" ht="14.25" customHeight="1" x14ac:dyDescent="0.25">
      <c r="A329" s="218"/>
      <c r="B329" s="36" t="str">
        <f ca="1">IF(B327&lt;&gt;"",TODAY(),"")</f>
        <v/>
      </c>
      <c r="C329" s="224"/>
      <c r="D329" s="19" t="str">
        <f>_xlfn.IFNA(INDEX(W2Pデータ貼り付け!O:O,MATCH(注文書!$A327,W2Pデータ貼り付け!$AM:$AM,0)),"")</f>
        <v/>
      </c>
      <c r="E329" s="19" t="str">
        <f>_xlfn.IFNA(INDEX(W2Pデータ貼り付け!U:U,MATCH(注文書!$A327,W2Pデータ貼り付け!$AM:$AM,0)),"")</f>
        <v/>
      </c>
      <c r="F329" s="28" t="str">
        <f>_xlfn.IFNA(INDEX(W2Pデータ貼り付け!AL:AL,MATCH(注文書!$A327,W2Pデータ貼り付け!$AM:$AM,0)),"")</f>
        <v/>
      </c>
      <c r="G329" s="29"/>
      <c r="H329" s="29"/>
      <c r="I329" s="29"/>
    </row>
    <row r="330" spans="1:9" ht="14.25" customHeight="1" x14ac:dyDescent="0.25">
      <c r="A330" s="216">
        <v>109</v>
      </c>
      <c r="B330" s="22" t="str">
        <f>IFERROR(LEFT(_xlfn.IFNA(INDEX(W2Pデータ貼り付け!B:B,MATCH(注文書!$A330,W2Pデータ貼り付け!$AM:$AM,0)),""),FIND("-",_xlfn.IFNA(INDEX(W2Pデータ貼り付け!B:B,MATCH(注文書!$A330,W2Pデータ貼り付け!$AM:$AM,0)),""))-1),_xlfn.IFNA(INDEX(W2Pデータ貼り付け!B:B,MATCH(注文書!$A330,W2Pデータ貼り付け!$AM:$AM,0)),""))</f>
        <v/>
      </c>
      <c r="C330" s="222" t="str">
        <f>_xlfn.IFNA(DATEVALUE(TEXT(INDEX(W2Pデータ貼り付け!AF:AF,MATCH(注文書!$A330,W2Pデータ貼り付け!$AM:$AM,0)),"0000!/00!/00")),"")</f>
        <v/>
      </c>
      <c r="D330" s="17" t="str">
        <f>_xlfn.IFNA(INDEX(W2Pデータ貼り付け!M:M,MATCH(注文書!$A330,W2Pデータ貼り付け!$AM:$AM,0)),"")</f>
        <v/>
      </c>
      <c r="E330" s="17" t="str">
        <f>_xlfn.IFNA(INDEX(W2Pデータ貼り付け!T:T,MATCH(注文書!$A330,W2Pデータ貼り付け!$AM:$AM,0)),"")</f>
        <v/>
      </c>
      <c r="F330" s="23" t="str" cm="1">
        <f t="array" ref="F330">_xlfn.IFNA(_xlfn.SINGLE(INDEX(CONCATENATE(W2Pデータ貼り付け!V:V,"部"),MATCH(注文書!$A330,W2Pデータ貼り付け!$AM:$AM,0))),"")</f>
        <v/>
      </c>
      <c r="G330" s="24"/>
      <c r="H330" s="24"/>
      <c r="I330" s="24"/>
    </row>
    <row r="331" spans="1:9" ht="14.25" customHeight="1" x14ac:dyDescent="0.25">
      <c r="A331" s="217"/>
      <c r="B331" s="25" t="str">
        <f>IFERROR(MID(_xlfn.IFNA(INDEX(W2Pデータ貼り付け!B:B,MATCH(注文書!$A330,W2Pデータ貼り付け!$AM:$AM,0)),""),FIND("-",_xlfn.IFNA(INDEX(W2Pデータ貼り付け!B:B,MATCH(注文書!$A330,W2Pデータ貼り付け!$AM:$AM,0)),"")),LEN(_xlfn.IFNA(INDEX(W2Pデータ貼り付け!B:B,MATCH(注文書!$A330,W2Pデータ貼り付け!$AM:$AM,0)),""))),"")</f>
        <v/>
      </c>
      <c r="C331" s="223"/>
      <c r="D331" s="18" t="str">
        <f>_xlfn.IFNA(INDEX(W2Pデータ貼り付け!N:N,MATCH(注文書!$A330,W2Pデータ貼り付け!$AM:$AM,0)),"")</f>
        <v/>
      </c>
      <c r="E331" s="18"/>
      <c r="F331" s="26" t="str">
        <f>_xlfn.IFNA(INDEX(W2Pデータ貼り付け!AK:AK,MATCH(注文書!$A330,W2Pデータ貼り付け!$AM:$AM,0)),"")</f>
        <v/>
      </c>
      <c r="G331" s="27"/>
      <c r="H331" s="27"/>
      <c r="I331" s="27"/>
    </row>
    <row r="332" spans="1:9" ht="14.25" customHeight="1" x14ac:dyDescent="0.25">
      <c r="A332" s="218"/>
      <c r="B332" s="36" t="str">
        <f ca="1">IF(B330&lt;&gt;"",TODAY(),"")</f>
        <v/>
      </c>
      <c r="C332" s="224"/>
      <c r="D332" s="19" t="str">
        <f>_xlfn.IFNA(INDEX(W2Pデータ貼り付け!O:O,MATCH(注文書!$A330,W2Pデータ貼り付け!$AM:$AM,0)),"")</f>
        <v/>
      </c>
      <c r="E332" s="19" t="str">
        <f>_xlfn.IFNA(INDEX(W2Pデータ貼り付け!U:U,MATCH(注文書!$A330,W2Pデータ貼り付け!$AM:$AM,0)),"")</f>
        <v/>
      </c>
      <c r="F332" s="28" t="str">
        <f>_xlfn.IFNA(INDEX(W2Pデータ貼り付け!AL:AL,MATCH(注文書!$A330,W2Pデータ貼り付け!$AM:$AM,0)),"")</f>
        <v/>
      </c>
      <c r="G332" s="29"/>
      <c r="H332" s="29"/>
      <c r="I332" s="29"/>
    </row>
    <row r="333" spans="1:9" ht="14.25" customHeight="1" x14ac:dyDescent="0.25">
      <c r="A333" s="216">
        <v>110</v>
      </c>
      <c r="B333" s="22" t="str">
        <f>IFERROR(LEFT(_xlfn.IFNA(INDEX(W2Pデータ貼り付け!B:B,MATCH(注文書!$A333,W2Pデータ貼り付け!$AM:$AM,0)),""),FIND("-",_xlfn.IFNA(INDEX(W2Pデータ貼り付け!B:B,MATCH(注文書!$A333,W2Pデータ貼り付け!$AM:$AM,0)),""))-1),_xlfn.IFNA(INDEX(W2Pデータ貼り付け!B:B,MATCH(注文書!$A333,W2Pデータ貼り付け!$AM:$AM,0)),""))</f>
        <v/>
      </c>
      <c r="C333" s="222" t="str">
        <f>_xlfn.IFNA(DATEVALUE(TEXT(INDEX(W2Pデータ貼り付け!AF:AF,MATCH(注文書!$A333,W2Pデータ貼り付け!$AM:$AM,0)),"0000!/00!/00")),"")</f>
        <v/>
      </c>
      <c r="D333" s="17" t="str">
        <f>_xlfn.IFNA(INDEX(W2Pデータ貼り付け!M:M,MATCH(注文書!$A333,W2Pデータ貼り付け!$AM:$AM,0)),"")</f>
        <v/>
      </c>
      <c r="E333" s="17" t="str">
        <f>_xlfn.IFNA(INDEX(W2Pデータ貼り付け!T:T,MATCH(注文書!$A333,W2Pデータ貼り付け!$AM:$AM,0)),"")</f>
        <v/>
      </c>
      <c r="F333" s="23" t="str" cm="1">
        <f t="array" ref="F333">_xlfn.IFNA(_xlfn.SINGLE(INDEX(CONCATENATE(W2Pデータ貼り付け!V:V,"部"),MATCH(注文書!$A333,W2Pデータ貼り付け!$AM:$AM,0))),"")</f>
        <v/>
      </c>
      <c r="G333" s="24"/>
      <c r="H333" s="24"/>
      <c r="I333" s="24"/>
    </row>
    <row r="334" spans="1:9" ht="14.25" customHeight="1" x14ac:dyDescent="0.25">
      <c r="A334" s="217"/>
      <c r="B334" s="25" t="str">
        <f>IFERROR(MID(_xlfn.IFNA(INDEX(W2Pデータ貼り付け!B:B,MATCH(注文書!$A333,W2Pデータ貼り付け!$AM:$AM,0)),""),FIND("-",_xlfn.IFNA(INDEX(W2Pデータ貼り付け!B:B,MATCH(注文書!$A333,W2Pデータ貼り付け!$AM:$AM,0)),"")),LEN(_xlfn.IFNA(INDEX(W2Pデータ貼り付け!B:B,MATCH(注文書!$A333,W2Pデータ貼り付け!$AM:$AM,0)),""))),"")</f>
        <v/>
      </c>
      <c r="C334" s="223"/>
      <c r="D334" s="18" t="str">
        <f>_xlfn.IFNA(INDEX(W2Pデータ貼り付け!N:N,MATCH(注文書!$A333,W2Pデータ貼り付け!$AM:$AM,0)),"")</f>
        <v/>
      </c>
      <c r="E334" s="18"/>
      <c r="F334" s="26" t="str">
        <f>_xlfn.IFNA(INDEX(W2Pデータ貼り付け!AK:AK,MATCH(注文書!$A333,W2Pデータ貼り付け!$AM:$AM,0)),"")</f>
        <v/>
      </c>
      <c r="G334" s="27"/>
      <c r="H334" s="27"/>
      <c r="I334" s="27"/>
    </row>
    <row r="335" spans="1:9" ht="14.25" customHeight="1" x14ac:dyDescent="0.25">
      <c r="A335" s="218"/>
      <c r="B335" s="36" t="str">
        <f ca="1">IF(B333&lt;&gt;"",TODAY(),"")</f>
        <v/>
      </c>
      <c r="C335" s="224"/>
      <c r="D335" s="19" t="str">
        <f>_xlfn.IFNA(INDEX(W2Pデータ貼り付け!O:O,MATCH(注文書!$A333,W2Pデータ貼り付け!$AM:$AM,0)),"")</f>
        <v/>
      </c>
      <c r="E335" s="19" t="str">
        <f>_xlfn.IFNA(INDEX(W2Pデータ貼り付け!U:U,MATCH(注文書!$A333,W2Pデータ貼り付け!$AM:$AM,0)),"")</f>
        <v/>
      </c>
      <c r="F335" s="28" t="str">
        <f>_xlfn.IFNA(INDEX(W2Pデータ貼り付け!AL:AL,MATCH(注文書!$A333,W2Pデータ貼り付け!$AM:$AM,0)),"")</f>
        <v/>
      </c>
      <c r="G335" s="29"/>
      <c r="H335" s="29"/>
      <c r="I335" s="29"/>
    </row>
    <row r="336" spans="1:9" ht="14.25" customHeight="1" x14ac:dyDescent="0.25">
      <c r="A336" s="216">
        <v>111</v>
      </c>
      <c r="B336" s="22" t="str">
        <f>IFERROR(LEFT(_xlfn.IFNA(INDEX(W2Pデータ貼り付け!B:B,MATCH(注文書!$A336,W2Pデータ貼り付け!$AM:$AM,0)),""),FIND("-",_xlfn.IFNA(INDEX(W2Pデータ貼り付け!B:B,MATCH(注文書!$A336,W2Pデータ貼り付け!$AM:$AM,0)),""))-1),_xlfn.IFNA(INDEX(W2Pデータ貼り付け!B:B,MATCH(注文書!$A336,W2Pデータ貼り付け!$AM:$AM,0)),""))</f>
        <v/>
      </c>
      <c r="C336" s="222" t="str">
        <f>_xlfn.IFNA(DATEVALUE(TEXT(INDEX(W2Pデータ貼り付け!AF:AF,MATCH(注文書!$A336,W2Pデータ貼り付け!$AM:$AM,0)),"0000!/00!/00")),"")</f>
        <v/>
      </c>
      <c r="D336" s="17" t="str">
        <f>_xlfn.IFNA(INDEX(W2Pデータ貼り付け!M:M,MATCH(注文書!$A336,W2Pデータ貼り付け!$AM:$AM,0)),"")</f>
        <v/>
      </c>
      <c r="E336" s="17" t="str">
        <f>_xlfn.IFNA(INDEX(W2Pデータ貼り付け!T:T,MATCH(注文書!$A336,W2Pデータ貼り付け!$AM:$AM,0)),"")</f>
        <v/>
      </c>
      <c r="F336" s="23" t="str" cm="1">
        <f t="array" ref="F336">_xlfn.IFNA(_xlfn.SINGLE(INDEX(CONCATENATE(W2Pデータ貼り付け!V:V,"部"),MATCH(注文書!$A336,W2Pデータ貼り付け!$AM:$AM,0))),"")</f>
        <v/>
      </c>
      <c r="G336" s="24"/>
      <c r="H336" s="24"/>
      <c r="I336" s="24"/>
    </row>
    <row r="337" spans="1:9" ht="14.25" customHeight="1" x14ac:dyDescent="0.25">
      <c r="A337" s="217"/>
      <c r="B337" s="25" t="str">
        <f>IFERROR(MID(_xlfn.IFNA(INDEX(W2Pデータ貼り付け!B:B,MATCH(注文書!$A336,W2Pデータ貼り付け!$AM:$AM,0)),""),FIND("-",_xlfn.IFNA(INDEX(W2Pデータ貼り付け!B:B,MATCH(注文書!$A336,W2Pデータ貼り付け!$AM:$AM,0)),"")),LEN(_xlfn.IFNA(INDEX(W2Pデータ貼り付け!B:B,MATCH(注文書!$A336,W2Pデータ貼り付け!$AM:$AM,0)),""))),"")</f>
        <v/>
      </c>
      <c r="C337" s="223"/>
      <c r="D337" s="18" t="str">
        <f>_xlfn.IFNA(INDEX(W2Pデータ貼り付け!N:N,MATCH(注文書!$A336,W2Pデータ貼り付け!$AM:$AM,0)),"")</f>
        <v/>
      </c>
      <c r="E337" s="18"/>
      <c r="F337" s="26" t="str">
        <f>_xlfn.IFNA(INDEX(W2Pデータ貼り付け!AK:AK,MATCH(注文書!$A336,W2Pデータ貼り付け!$AM:$AM,0)),"")</f>
        <v/>
      </c>
      <c r="G337" s="27"/>
      <c r="H337" s="27"/>
      <c r="I337" s="27"/>
    </row>
    <row r="338" spans="1:9" ht="14.25" customHeight="1" x14ac:dyDescent="0.25">
      <c r="A338" s="218"/>
      <c r="B338" s="36" t="str">
        <f ca="1">IF(B336&lt;&gt;"",TODAY(),"")</f>
        <v/>
      </c>
      <c r="C338" s="224"/>
      <c r="D338" s="19" t="str">
        <f>_xlfn.IFNA(INDEX(W2Pデータ貼り付け!O:O,MATCH(注文書!$A336,W2Pデータ貼り付け!$AM:$AM,0)),"")</f>
        <v/>
      </c>
      <c r="E338" s="19" t="str">
        <f>_xlfn.IFNA(INDEX(W2Pデータ貼り付け!U:U,MATCH(注文書!$A336,W2Pデータ貼り付け!$AM:$AM,0)),"")</f>
        <v/>
      </c>
      <c r="F338" s="28" t="str">
        <f>_xlfn.IFNA(INDEX(W2Pデータ貼り付け!AL:AL,MATCH(注文書!$A336,W2Pデータ貼り付け!$AM:$AM,0)),"")</f>
        <v/>
      </c>
      <c r="G338" s="29"/>
      <c r="H338" s="29"/>
      <c r="I338" s="29"/>
    </row>
    <row r="339" spans="1:9" ht="14.25" customHeight="1" x14ac:dyDescent="0.25">
      <c r="A339" s="216">
        <v>112</v>
      </c>
      <c r="B339" s="22" t="str">
        <f>IFERROR(LEFT(_xlfn.IFNA(INDEX(W2Pデータ貼り付け!B:B,MATCH(注文書!$A339,W2Pデータ貼り付け!$AM:$AM,0)),""),FIND("-",_xlfn.IFNA(INDEX(W2Pデータ貼り付け!B:B,MATCH(注文書!$A339,W2Pデータ貼り付け!$AM:$AM,0)),""))-1),_xlfn.IFNA(INDEX(W2Pデータ貼り付け!B:B,MATCH(注文書!$A339,W2Pデータ貼り付け!$AM:$AM,0)),""))</f>
        <v/>
      </c>
      <c r="C339" s="222" t="str">
        <f>_xlfn.IFNA(DATEVALUE(TEXT(INDEX(W2Pデータ貼り付け!AF:AF,MATCH(注文書!$A339,W2Pデータ貼り付け!$AM:$AM,0)),"0000!/00!/00")),"")</f>
        <v/>
      </c>
      <c r="D339" s="17" t="str">
        <f>_xlfn.IFNA(INDEX(W2Pデータ貼り付け!M:M,MATCH(注文書!$A339,W2Pデータ貼り付け!$AM:$AM,0)),"")</f>
        <v/>
      </c>
      <c r="E339" s="17" t="str">
        <f>_xlfn.IFNA(INDEX(W2Pデータ貼り付け!T:T,MATCH(注文書!$A339,W2Pデータ貼り付け!$AM:$AM,0)),"")</f>
        <v/>
      </c>
      <c r="F339" s="23" t="str" cm="1">
        <f t="array" ref="F339">_xlfn.IFNA(_xlfn.SINGLE(INDEX(CONCATENATE(W2Pデータ貼り付け!V:V,"部"),MATCH(注文書!$A339,W2Pデータ貼り付け!$AM:$AM,0))),"")</f>
        <v/>
      </c>
      <c r="G339" s="24"/>
      <c r="H339" s="24"/>
      <c r="I339" s="24"/>
    </row>
    <row r="340" spans="1:9" ht="14.25" customHeight="1" x14ac:dyDescent="0.25">
      <c r="A340" s="217"/>
      <c r="B340" s="25" t="str">
        <f>IFERROR(MID(_xlfn.IFNA(INDEX(W2Pデータ貼り付け!B:B,MATCH(注文書!$A339,W2Pデータ貼り付け!$AM:$AM,0)),""),FIND("-",_xlfn.IFNA(INDEX(W2Pデータ貼り付け!B:B,MATCH(注文書!$A339,W2Pデータ貼り付け!$AM:$AM,0)),"")),LEN(_xlfn.IFNA(INDEX(W2Pデータ貼り付け!B:B,MATCH(注文書!$A339,W2Pデータ貼り付け!$AM:$AM,0)),""))),"")</f>
        <v/>
      </c>
      <c r="C340" s="223"/>
      <c r="D340" s="18" t="str">
        <f>_xlfn.IFNA(INDEX(W2Pデータ貼り付け!N:N,MATCH(注文書!$A339,W2Pデータ貼り付け!$AM:$AM,0)),"")</f>
        <v/>
      </c>
      <c r="E340" s="18"/>
      <c r="F340" s="26" t="str">
        <f>_xlfn.IFNA(INDEX(W2Pデータ貼り付け!AK:AK,MATCH(注文書!$A339,W2Pデータ貼り付け!$AM:$AM,0)),"")</f>
        <v/>
      </c>
      <c r="G340" s="27"/>
      <c r="H340" s="27"/>
      <c r="I340" s="27"/>
    </row>
    <row r="341" spans="1:9" ht="14.25" customHeight="1" x14ac:dyDescent="0.25">
      <c r="A341" s="218"/>
      <c r="B341" s="36" t="str">
        <f ca="1">IF(B339&lt;&gt;"",TODAY(),"")</f>
        <v/>
      </c>
      <c r="C341" s="224"/>
      <c r="D341" s="19" t="str">
        <f>_xlfn.IFNA(INDEX(W2Pデータ貼り付け!O:O,MATCH(注文書!$A339,W2Pデータ貼り付け!$AM:$AM,0)),"")</f>
        <v/>
      </c>
      <c r="E341" s="19" t="str">
        <f>_xlfn.IFNA(INDEX(W2Pデータ貼り付け!U:U,MATCH(注文書!$A339,W2Pデータ貼り付け!$AM:$AM,0)),"")</f>
        <v/>
      </c>
      <c r="F341" s="28" t="str">
        <f>_xlfn.IFNA(INDEX(W2Pデータ貼り付け!AL:AL,MATCH(注文書!$A339,W2Pデータ貼り付け!$AM:$AM,0)),"")</f>
        <v/>
      </c>
      <c r="G341" s="29"/>
      <c r="H341" s="29"/>
      <c r="I341" s="29"/>
    </row>
  </sheetData>
  <dataConsolidate/>
  <mergeCells count="224">
    <mergeCell ref="A339:A341"/>
    <mergeCell ref="C339:C341"/>
    <mergeCell ref="A330:A332"/>
    <mergeCell ref="C330:C332"/>
    <mergeCell ref="A333:A335"/>
    <mergeCell ref="C333:C335"/>
    <mergeCell ref="A336:A338"/>
    <mergeCell ref="C336:C338"/>
    <mergeCell ref="A321:A323"/>
    <mergeCell ref="C321:C323"/>
    <mergeCell ref="A324:A326"/>
    <mergeCell ref="C324:C326"/>
    <mergeCell ref="A327:A329"/>
    <mergeCell ref="C327:C329"/>
    <mergeCell ref="A312:A314"/>
    <mergeCell ref="C312:C314"/>
    <mergeCell ref="A315:A317"/>
    <mergeCell ref="C315:C317"/>
    <mergeCell ref="A318:A320"/>
    <mergeCell ref="C318:C320"/>
    <mergeCell ref="A303:A305"/>
    <mergeCell ref="C303:C305"/>
    <mergeCell ref="A306:A308"/>
    <mergeCell ref="C306:C308"/>
    <mergeCell ref="A309:A311"/>
    <mergeCell ref="C309:C311"/>
    <mergeCell ref="A294:A296"/>
    <mergeCell ref="C294:C296"/>
    <mergeCell ref="A297:A299"/>
    <mergeCell ref="C297:C299"/>
    <mergeCell ref="A300:A302"/>
    <mergeCell ref="C300:C302"/>
    <mergeCell ref="A285:A287"/>
    <mergeCell ref="C285:C287"/>
    <mergeCell ref="A288:A290"/>
    <mergeCell ref="C288:C290"/>
    <mergeCell ref="A291:A293"/>
    <mergeCell ref="C291:C293"/>
    <mergeCell ref="A276:A278"/>
    <mergeCell ref="C276:C278"/>
    <mergeCell ref="A279:A281"/>
    <mergeCell ref="C279:C281"/>
    <mergeCell ref="A282:A284"/>
    <mergeCell ref="C282:C284"/>
    <mergeCell ref="A267:A269"/>
    <mergeCell ref="C267:C269"/>
    <mergeCell ref="A270:A272"/>
    <mergeCell ref="C270:C272"/>
    <mergeCell ref="A273:A275"/>
    <mergeCell ref="C273:C275"/>
    <mergeCell ref="A258:A260"/>
    <mergeCell ref="C258:C260"/>
    <mergeCell ref="A261:A263"/>
    <mergeCell ref="C261:C263"/>
    <mergeCell ref="A264:A266"/>
    <mergeCell ref="C264:C266"/>
    <mergeCell ref="A249:A251"/>
    <mergeCell ref="C249:C251"/>
    <mergeCell ref="A252:A254"/>
    <mergeCell ref="C252:C254"/>
    <mergeCell ref="A255:A257"/>
    <mergeCell ref="C255:C257"/>
    <mergeCell ref="A240:A242"/>
    <mergeCell ref="C240:C242"/>
    <mergeCell ref="A243:A245"/>
    <mergeCell ref="C243:C245"/>
    <mergeCell ref="A246:A248"/>
    <mergeCell ref="C246:C248"/>
    <mergeCell ref="A231:A233"/>
    <mergeCell ref="C231:C233"/>
    <mergeCell ref="A234:A236"/>
    <mergeCell ref="C234:C236"/>
    <mergeCell ref="A237:A239"/>
    <mergeCell ref="C237:C239"/>
    <mergeCell ref="A222:A224"/>
    <mergeCell ref="C222:C224"/>
    <mergeCell ref="A225:A227"/>
    <mergeCell ref="C225:C227"/>
    <mergeCell ref="A228:A230"/>
    <mergeCell ref="C228:C230"/>
    <mergeCell ref="A213:A215"/>
    <mergeCell ref="C213:C215"/>
    <mergeCell ref="A216:A218"/>
    <mergeCell ref="C216:C218"/>
    <mergeCell ref="A219:A221"/>
    <mergeCell ref="C219:C221"/>
    <mergeCell ref="A204:A206"/>
    <mergeCell ref="C204:C206"/>
    <mergeCell ref="A207:A209"/>
    <mergeCell ref="C207:C209"/>
    <mergeCell ref="A210:A212"/>
    <mergeCell ref="C210:C212"/>
    <mergeCell ref="A195:A197"/>
    <mergeCell ref="C195:C197"/>
    <mergeCell ref="A198:A200"/>
    <mergeCell ref="C198:C200"/>
    <mergeCell ref="A201:A203"/>
    <mergeCell ref="C201:C203"/>
    <mergeCell ref="A186:A188"/>
    <mergeCell ref="C186:C188"/>
    <mergeCell ref="A189:A191"/>
    <mergeCell ref="C189:C191"/>
    <mergeCell ref="A192:A194"/>
    <mergeCell ref="C192:C194"/>
    <mergeCell ref="A177:A179"/>
    <mergeCell ref="C177:C179"/>
    <mergeCell ref="A180:A182"/>
    <mergeCell ref="C180:C182"/>
    <mergeCell ref="A183:A185"/>
    <mergeCell ref="C183:C185"/>
    <mergeCell ref="A168:A170"/>
    <mergeCell ref="C168:C170"/>
    <mergeCell ref="A171:A173"/>
    <mergeCell ref="C171:C173"/>
    <mergeCell ref="A174:A176"/>
    <mergeCell ref="C174:C176"/>
    <mergeCell ref="A159:A161"/>
    <mergeCell ref="C159:C161"/>
    <mergeCell ref="A162:A164"/>
    <mergeCell ref="C162:C164"/>
    <mergeCell ref="A165:A167"/>
    <mergeCell ref="C165:C167"/>
    <mergeCell ref="A150:A152"/>
    <mergeCell ref="C150:C152"/>
    <mergeCell ref="A153:A155"/>
    <mergeCell ref="C153:C155"/>
    <mergeCell ref="A156:A158"/>
    <mergeCell ref="C156:C158"/>
    <mergeCell ref="A141:A143"/>
    <mergeCell ref="C141:C143"/>
    <mergeCell ref="A144:A146"/>
    <mergeCell ref="C144:C146"/>
    <mergeCell ref="A147:A149"/>
    <mergeCell ref="C147:C149"/>
    <mergeCell ref="A132:A134"/>
    <mergeCell ref="C132:C134"/>
    <mergeCell ref="A135:A137"/>
    <mergeCell ref="C135:C137"/>
    <mergeCell ref="A138:A140"/>
    <mergeCell ref="C138:C140"/>
    <mergeCell ref="A123:A125"/>
    <mergeCell ref="C123:C125"/>
    <mergeCell ref="A126:A128"/>
    <mergeCell ref="C126:C128"/>
    <mergeCell ref="A129:A131"/>
    <mergeCell ref="C129:C131"/>
    <mergeCell ref="A114:A116"/>
    <mergeCell ref="C114:C116"/>
    <mergeCell ref="A117:A119"/>
    <mergeCell ref="C117:C119"/>
    <mergeCell ref="A120:A122"/>
    <mergeCell ref="C120:C122"/>
    <mergeCell ref="A105:A107"/>
    <mergeCell ref="C105:C107"/>
    <mergeCell ref="A108:A110"/>
    <mergeCell ref="C108:C110"/>
    <mergeCell ref="A111:A113"/>
    <mergeCell ref="C111:C113"/>
    <mergeCell ref="A96:A98"/>
    <mergeCell ref="C96:C98"/>
    <mergeCell ref="A99:A101"/>
    <mergeCell ref="C99:C101"/>
    <mergeCell ref="A102:A104"/>
    <mergeCell ref="C102:C104"/>
    <mergeCell ref="A87:A89"/>
    <mergeCell ref="C87:C89"/>
    <mergeCell ref="A90:A92"/>
    <mergeCell ref="C90:C92"/>
    <mergeCell ref="A93:A95"/>
    <mergeCell ref="C93:C95"/>
    <mergeCell ref="A78:A80"/>
    <mergeCell ref="C78:C80"/>
    <mergeCell ref="A81:A83"/>
    <mergeCell ref="C81:C83"/>
    <mergeCell ref="A84:A86"/>
    <mergeCell ref="C84:C86"/>
    <mergeCell ref="A69:A71"/>
    <mergeCell ref="C69:C71"/>
    <mergeCell ref="A72:A74"/>
    <mergeCell ref="C72:C74"/>
    <mergeCell ref="A75:A77"/>
    <mergeCell ref="C75:C77"/>
    <mergeCell ref="A60:A62"/>
    <mergeCell ref="C60:C62"/>
    <mergeCell ref="A63:A65"/>
    <mergeCell ref="C63:C65"/>
    <mergeCell ref="A66:A68"/>
    <mergeCell ref="C66:C68"/>
    <mergeCell ref="A51:A53"/>
    <mergeCell ref="C51:C53"/>
    <mergeCell ref="A54:A56"/>
    <mergeCell ref="C54:C56"/>
    <mergeCell ref="A57:A59"/>
    <mergeCell ref="C57:C59"/>
    <mergeCell ref="A45:A47"/>
    <mergeCell ref="C45:C47"/>
    <mergeCell ref="A48:A50"/>
    <mergeCell ref="C48:C50"/>
    <mergeCell ref="A33:A35"/>
    <mergeCell ref="C33:C35"/>
    <mergeCell ref="A36:A38"/>
    <mergeCell ref="C36:C38"/>
    <mergeCell ref="A39:A41"/>
    <mergeCell ref="C39:C41"/>
    <mergeCell ref="A30:A32"/>
    <mergeCell ref="C30:C32"/>
    <mergeCell ref="A15:A17"/>
    <mergeCell ref="C15:C17"/>
    <mergeCell ref="A18:A20"/>
    <mergeCell ref="C18:C20"/>
    <mergeCell ref="A21:A23"/>
    <mergeCell ref="C21:C23"/>
    <mergeCell ref="A42:A44"/>
    <mergeCell ref="C42:C44"/>
    <mergeCell ref="A6:A8"/>
    <mergeCell ref="C6:C8"/>
    <mergeCell ref="A9:A11"/>
    <mergeCell ref="C9:C11"/>
    <mergeCell ref="A12:A14"/>
    <mergeCell ref="C12:C14"/>
    <mergeCell ref="A24:A26"/>
    <mergeCell ref="C24:C26"/>
    <mergeCell ref="A27:A29"/>
    <mergeCell ref="C27:C29"/>
  </mergeCells>
  <phoneticPr fontId="10"/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Header>&amp;C&amp;"Meiryo UI,標準"&amp;12注文一覧表&amp;R&amp;"Meiryo UI,標準"&amp;10&amp;D</oddHeader>
    <oddFooter>&amp;R&amp;"Meiryo UI,標準"&amp;8ページ番号&amp;P</oddFooter>
  </headerFooter>
  <rowBreaks count="1" manualBreakCount="1">
    <brk id="35" max="8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92D050"/>
  </sheetPr>
  <dimension ref="A1:AB4"/>
  <sheetViews>
    <sheetView zoomScale="80" zoomScaleNormal="80" workbookViewId="0">
      <selection activeCell="I2" sqref="I2"/>
    </sheetView>
  </sheetViews>
  <sheetFormatPr defaultColWidth="9" defaultRowHeight="13.5" x14ac:dyDescent="0.15"/>
  <cols>
    <col min="1" max="1" width="22.25" customWidth="1"/>
    <col min="3" max="3" width="22.25" customWidth="1"/>
    <col min="4" max="4" width="18.375" customWidth="1"/>
    <col min="6" max="7" width="11.875" customWidth="1"/>
    <col min="16" max="16" width="11.875" customWidth="1"/>
    <col min="17" max="17" width="9.125" bestFit="1" customWidth="1"/>
    <col min="18" max="19" width="11.875" customWidth="1"/>
    <col min="20" max="20" width="9.125" bestFit="1" customWidth="1"/>
    <col min="21" max="22" width="11.875" customWidth="1"/>
    <col min="23" max="23" width="7.5" bestFit="1" customWidth="1"/>
    <col min="24" max="25" width="11.875" customWidth="1"/>
    <col min="26" max="26" width="10.75" bestFit="1" customWidth="1"/>
    <col min="28" max="28" width="10.75" bestFit="1" customWidth="1"/>
  </cols>
  <sheetData>
    <row r="1" spans="1:28" s="76" customFormat="1" ht="14.25" x14ac:dyDescent="0.35">
      <c r="A1" s="73" t="s">
        <v>857</v>
      </c>
      <c r="B1" s="74" t="s">
        <v>858</v>
      </c>
      <c r="C1" s="73" t="s">
        <v>859</v>
      </c>
      <c r="D1" s="5" t="s">
        <v>854</v>
      </c>
      <c r="E1" s="5" t="s">
        <v>855</v>
      </c>
      <c r="F1" s="74" t="s">
        <v>860</v>
      </c>
      <c r="G1" s="74" t="s">
        <v>861</v>
      </c>
      <c r="H1" s="5" t="s">
        <v>846</v>
      </c>
      <c r="I1" s="5" t="s">
        <v>847</v>
      </c>
      <c r="J1" s="5" t="s">
        <v>853</v>
      </c>
      <c r="K1" s="5" t="s">
        <v>852</v>
      </c>
      <c r="L1" s="5" t="s">
        <v>848</v>
      </c>
      <c r="M1" s="5" t="s">
        <v>849</v>
      </c>
      <c r="N1" s="5" t="s">
        <v>850</v>
      </c>
      <c r="O1" s="5" t="s">
        <v>851</v>
      </c>
      <c r="P1" s="74" t="s">
        <v>862</v>
      </c>
      <c r="Q1" s="5" t="s">
        <v>856</v>
      </c>
      <c r="R1" s="74" t="s">
        <v>863</v>
      </c>
      <c r="S1" s="74" t="s">
        <v>864</v>
      </c>
      <c r="T1" s="5" t="s">
        <v>826</v>
      </c>
      <c r="U1" s="74" t="s">
        <v>865</v>
      </c>
      <c r="V1" s="74" t="s">
        <v>866</v>
      </c>
      <c r="W1" s="74" t="s">
        <v>842</v>
      </c>
      <c r="X1" s="74" t="s">
        <v>843</v>
      </c>
      <c r="Y1" s="74" t="s">
        <v>844</v>
      </c>
      <c r="Z1" s="75" t="s">
        <v>839</v>
      </c>
      <c r="AA1" s="75" t="s">
        <v>840</v>
      </c>
      <c r="AB1" s="75" t="s">
        <v>841</v>
      </c>
    </row>
    <row r="2" spans="1:28" x14ac:dyDescent="0.15">
      <c r="D2">
        <v>201485</v>
      </c>
      <c r="E2" t="s">
        <v>1610</v>
      </c>
      <c r="G2" t="s">
        <v>1605</v>
      </c>
      <c r="H2" t="s">
        <v>1606</v>
      </c>
      <c r="I2" t="s">
        <v>1605</v>
      </c>
      <c r="L2" t="s">
        <v>1607</v>
      </c>
      <c r="M2" t="s">
        <v>426</v>
      </c>
      <c r="N2" t="s">
        <v>1634</v>
      </c>
      <c r="Q2">
        <v>1</v>
      </c>
      <c r="T2" t="s">
        <v>1609</v>
      </c>
      <c r="Z2">
        <v>20260122</v>
      </c>
      <c r="AB2">
        <v>20260121</v>
      </c>
    </row>
    <row r="3" spans="1:28" x14ac:dyDescent="0.15">
      <c r="D3">
        <v>200627</v>
      </c>
      <c r="E3" t="s">
        <v>1616</v>
      </c>
      <c r="G3" t="s">
        <v>1605</v>
      </c>
      <c r="H3" t="s">
        <v>1606</v>
      </c>
      <c r="I3" t="s">
        <v>1605</v>
      </c>
      <c r="L3" t="s">
        <v>1607</v>
      </c>
      <c r="M3" t="s">
        <v>426</v>
      </c>
      <c r="N3" t="s">
        <v>1634</v>
      </c>
      <c r="Q3">
        <v>1</v>
      </c>
      <c r="T3" t="s">
        <v>1615</v>
      </c>
      <c r="Z3">
        <v>20260122</v>
      </c>
      <c r="AB3">
        <v>20260121</v>
      </c>
    </row>
    <row r="4" spans="1:28" x14ac:dyDescent="0.15">
      <c r="D4">
        <v>200627</v>
      </c>
      <c r="E4" t="s">
        <v>1616</v>
      </c>
      <c r="G4" t="s">
        <v>1605</v>
      </c>
      <c r="H4" t="s">
        <v>1606</v>
      </c>
      <c r="I4" t="s">
        <v>1605</v>
      </c>
      <c r="L4" t="s">
        <v>1607</v>
      </c>
      <c r="M4" t="s">
        <v>426</v>
      </c>
      <c r="N4" t="s">
        <v>1634</v>
      </c>
      <c r="Q4">
        <v>1</v>
      </c>
      <c r="T4" t="s">
        <v>1625</v>
      </c>
      <c r="Z4">
        <v>20260122</v>
      </c>
      <c r="AB4">
        <v>20260121</v>
      </c>
    </row>
  </sheetData>
  <dataConsolidate/>
  <phoneticPr fontId="10"/>
  <pageMargins left="0.75" right="0.75" top="1" bottom="1" header="0.51200000000000001" footer="0.51200000000000001"/>
  <pageSetup paperSize="9" orientation="landscape" horizontalDpi="300" verticalDpi="300" r:id="rId1"/>
  <headerFooter alignWithMargins="0"/>
  <colBreaks count="1" manualBreakCount="1">
    <brk id="25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92D050"/>
  </sheetPr>
  <dimension ref="A1:BB217"/>
  <sheetViews>
    <sheetView zoomScale="110" zoomScaleNormal="11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B1" sqref="B1:B1048576"/>
    </sheetView>
  </sheetViews>
  <sheetFormatPr defaultColWidth="8.625" defaultRowHeight="12" customHeight="1" x14ac:dyDescent="0.15"/>
  <cols>
    <col min="1" max="1" width="3.375" style="86" bestFit="1" customWidth="1"/>
    <col min="2" max="2" width="8" style="86" customWidth="1"/>
    <col min="3" max="3" width="13.625" style="86" customWidth="1"/>
    <col min="4" max="4" width="40.875" style="86" customWidth="1"/>
    <col min="5" max="5" width="19.625" style="86" customWidth="1"/>
    <col min="6" max="6" width="19.625" style="6" customWidth="1"/>
    <col min="7" max="7" width="6.625" style="6" customWidth="1"/>
    <col min="8" max="8" width="7.375" style="86" customWidth="1"/>
    <col min="9" max="9" width="9.125" style="6" customWidth="1"/>
    <col min="10" max="10" width="8.25" style="6" customWidth="1"/>
    <col min="11" max="11" width="12.25" style="6" customWidth="1"/>
    <col min="12" max="12" width="14.25" style="6" customWidth="1"/>
    <col min="13" max="13" width="13.875" style="6" customWidth="1"/>
    <col min="14" max="14" width="37" style="6" customWidth="1"/>
    <col min="15" max="19" width="12.75" style="86" customWidth="1"/>
    <col min="20" max="21" width="8.625" style="86" customWidth="1"/>
    <col min="22" max="22" width="18.375" style="86" customWidth="1"/>
    <col min="23" max="23" width="18.25" style="86" customWidth="1"/>
    <col min="24" max="24" width="6.75" style="6" customWidth="1"/>
    <col min="25" max="25" width="7.875" style="86" customWidth="1"/>
    <col min="26" max="26" width="9.375" style="6" customWidth="1"/>
    <col min="27" max="27" width="8.625" style="86" customWidth="1"/>
    <col min="28" max="28" width="7.625" style="6" customWidth="1"/>
    <col min="29" max="29" width="8.625" style="86" customWidth="1"/>
    <col min="30" max="31" width="7.375" style="6" customWidth="1"/>
    <col min="32" max="32" width="13.375" style="6" customWidth="1"/>
    <col min="33" max="34" width="8.625" style="86" customWidth="1"/>
    <col min="35" max="35" width="15.875" style="90" customWidth="1"/>
    <col min="36" max="36" width="21.375" style="90" customWidth="1"/>
    <col min="37" max="37" width="15.875" style="90" customWidth="1"/>
    <col min="38" max="38" width="34.125" style="90" customWidth="1"/>
    <col min="39" max="40" width="22.375" style="90" customWidth="1"/>
    <col min="41" max="42" width="8.25" style="90" customWidth="1"/>
    <col min="43" max="43" width="9" style="90" customWidth="1"/>
    <col min="44" max="44" width="10.25" style="90" customWidth="1"/>
    <col min="45" max="45" width="8.625" style="90" customWidth="1"/>
    <col min="46" max="46" width="9.125" style="90" customWidth="1"/>
    <col min="47" max="48" width="22.375" style="90" customWidth="1"/>
    <col min="49" max="50" width="8.625" style="86" customWidth="1"/>
    <col min="51" max="51" width="8.625" style="33"/>
    <col min="52" max="16384" width="8.625" style="86"/>
  </cols>
  <sheetData>
    <row r="1" spans="1:54" s="166" customFormat="1" ht="71.25" x14ac:dyDescent="0.15">
      <c r="A1" s="86" t="s">
        <v>1203</v>
      </c>
      <c r="B1" s="8" t="s">
        <v>1012</v>
      </c>
      <c r="C1" s="9" t="s">
        <v>181</v>
      </c>
      <c r="D1" s="9" t="s">
        <v>172</v>
      </c>
      <c r="E1" s="8" t="s">
        <v>24</v>
      </c>
      <c r="F1" s="8" t="s">
        <v>25</v>
      </c>
      <c r="G1" s="8" t="s">
        <v>26</v>
      </c>
      <c r="H1" s="8" t="s">
        <v>27</v>
      </c>
      <c r="I1" s="8" t="s">
        <v>28</v>
      </c>
      <c r="J1" s="8" t="s">
        <v>16</v>
      </c>
      <c r="K1" s="8" t="s">
        <v>29</v>
      </c>
      <c r="L1" s="8" t="s">
        <v>30</v>
      </c>
      <c r="M1" s="9" t="s">
        <v>31</v>
      </c>
      <c r="N1" s="9" t="s">
        <v>137</v>
      </c>
      <c r="O1" s="9" t="s">
        <v>138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36</v>
      </c>
      <c r="U1" s="8" t="s">
        <v>139</v>
      </c>
      <c r="V1" s="10" t="s">
        <v>4</v>
      </c>
      <c r="W1" s="10" t="s">
        <v>5</v>
      </c>
      <c r="X1" s="10" t="s">
        <v>1</v>
      </c>
      <c r="Y1" s="10" t="s">
        <v>2</v>
      </c>
      <c r="Z1" s="10" t="s">
        <v>3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6" t="s">
        <v>14</v>
      </c>
      <c r="AH1" s="106" t="s">
        <v>15</v>
      </c>
      <c r="AI1" s="107" t="s">
        <v>158</v>
      </c>
      <c r="AJ1" s="108" t="s">
        <v>157</v>
      </c>
      <c r="AK1" s="11" t="s">
        <v>365</v>
      </c>
      <c r="AL1" s="11" t="s">
        <v>173</v>
      </c>
      <c r="AM1" s="11" t="s">
        <v>147</v>
      </c>
      <c r="AN1" s="11" t="s">
        <v>148</v>
      </c>
      <c r="AO1" s="11" t="s">
        <v>149</v>
      </c>
      <c r="AP1" s="11" t="s">
        <v>150</v>
      </c>
      <c r="AQ1" s="11" t="s">
        <v>151</v>
      </c>
      <c r="AR1" s="11" t="s">
        <v>152</v>
      </c>
      <c r="AS1" s="11" t="s">
        <v>153</v>
      </c>
      <c r="AT1" s="11" t="s">
        <v>154</v>
      </c>
      <c r="AU1" s="11" t="s">
        <v>155</v>
      </c>
      <c r="AV1" s="11" t="s">
        <v>156</v>
      </c>
      <c r="AW1" s="109"/>
      <c r="AX1" s="110" t="s">
        <v>174</v>
      </c>
      <c r="AY1" s="31" t="s">
        <v>378</v>
      </c>
      <c r="AZ1" s="166">
        <v>50</v>
      </c>
      <c r="BA1" s="166">
        <v>100</v>
      </c>
      <c r="BB1" s="166">
        <v>200</v>
      </c>
    </row>
    <row r="2" spans="1:54" s="89" customFormat="1" ht="12" customHeight="1" x14ac:dyDescent="0.15">
      <c r="A2" s="89" t="s">
        <v>350</v>
      </c>
      <c r="B2" s="111">
        <v>200627</v>
      </c>
      <c r="C2" s="208" t="s">
        <v>1413</v>
      </c>
      <c r="D2" s="199" t="s">
        <v>198</v>
      </c>
      <c r="E2" s="89" t="s">
        <v>140</v>
      </c>
      <c r="F2" s="12" t="s">
        <v>140</v>
      </c>
      <c r="G2" s="12" t="s">
        <v>141</v>
      </c>
      <c r="H2" s="89" t="s">
        <v>141</v>
      </c>
      <c r="I2" s="12" t="s">
        <v>12</v>
      </c>
      <c r="J2" s="12" t="s">
        <v>0</v>
      </c>
      <c r="K2" s="12" t="s">
        <v>38</v>
      </c>
      <c r="L2" s="12"/>
      <c r="M2" s="12" t="s">
        <v>361</v>
      </c>
      <c r="N2" s="12" t="s">
        <v>146</v>
      </c>
      <c r="O2" s="89" t="s">
        <v>175</v>
      </c>
      <c r="Q2" s="89" t="s">
        <v>145</v>
      </c>
      <c r="R2" s="89" t="s">
        <v>142</v>
      </c>
      <c r="S2" s="89" t="s">
        <v>143</v>
      </c>
      <c r="T2" s="89" t="s">
        <v>142</v>
      </c>
      <c r="U2" s="89" t="s">
        <v>380</v>
      </c>
      <c r="AG2" s="89" t="s">
        <v>176</v>
      </c>
      <c r="AH2" s="114" t="s">
        <v>177</v>
      </c>
      <c r="AK2" s="177" t="s">
        <v>1414</v>
      </c>
      <c r="AL2" s="113" t="s">
        <v>396</v>
      </c>
      <c r="AM2" s="89" t="s">
        <v>1120</v>
      </c>
      <c r="AN2" s="89" t="s">
        <v>144</v>
      </c>
      <c r="AO2" s="12" t="s">
        <v>141</v>
      </c>
      <c r="AP2" s="89" t="s">
        <v>141</v>
      </c>
      <c r="AQ2" s="12" t="s">
        <v>0</v>
      </c>
      <c r="AR2" s="89" t="s">
        <v>38</v>
      </c>
      <c r="AS2" s="12" t="s">
        <v>142</v>
      </c>
      <c r="AT2" s="89" t="s">
        <v>145</v>
      </c>
      <c r="AU2" s="12" t="s">
        <v>362</v>
      </c>
      <c r="AV2" s="12" t="s">
        <v>142</v>
      </c>
      <c r="AY2" s="32">
        <v>107.5</v>
      </c>
      <c r="BA2" s="4"/>
    </row>
    <row r="3" spans="1:54" s="89" customFormat="1" ht="12" customHeight="1" x14ac:dyDescent="0.15">
      <c r="A3" s="89" t="s">
        <v>351</v>
      </c>
      <c r="B3" s="111">
        <v>200621</v>
      </c>
      <c r="C3" s="208" t="s">
        <v>1420</v>
      </c>
      <c r="D3" s="199" t="s">
        <v>199</v>
      </c>
      <c r="E3" s="89" t="s">
        <v>1119</v>
      </c>
      <c r="F3" s="12" t="s">
        <v>140</v>
      </c>
      <c r="G3" s="12" t="s">
        <v>141</v>
      </c>
      <c r="H3" s="89" t="s">
        <v>141</v>
      </c>
      <c r="I3" s="12" t="s">
        <v>12</v>
      </c>
      <c r="J3" s="12" t="s">
        <v>0</v>
      </c>
      <c r="K3" s="12" t="s">
        <v>38</v>
      </c>
      <c r="L3" s="12"/>
      <c r="M3" s="12" t="s">
        <v>361</v>
      </c>
      <c r="N3" s="12" t="s">
        <v>146</v>
      </c>
      <c r="O3" s="89" t="s">
        <v>175</v>
      </c>
      <c r="Q3" s="89" t="s">
        <v>145</v>
      </c>
      <c r="R3" s="89" t="s">
        <v>142</v>
      </c>
      <c r="S3" s="89" t="s">
        <v>143</v>
      </c>
      <c r="T3" s="89" t="s">
        <v>142</v>
      </c>
      <c r="U3" s="89" t="s">
        <v>380</v>
      </c>
      <c r="AG3" s="89" t="s">
        <v>176</v>
      </c>
      <c r="AH3" s="114" t="s">
        <v>177</v>
      </c>
      <c r="AK3" s="177" t="s">
        <v>1239</v>
      </c>
      <c r="AL3" s="113" t="s">
        <v>417</v>
      </c>
      <c r="AM3" s="89" t="s">
        <v>144</v>
      </c>
      <c r="AN3" s="89" t="s">
        <v>144</v>
      </c>
      <c r="AO3" s="12" t="s">
        <v>141</v>
      </c>
      <c r="AP3" s="89" t="s">
        <v>141</v>
      </c>
      <c r="AQ3" s="12" t="s">
        <v>0</v>
      </c>
      <c r="AR3" s="89" t="s">
        <v>38</v>
      </c>
      <c r="AS3" s="12" t="s">
        <v>142</v>
      </c>
      <c r="AT3" s="89" t="s">
        <v>145</v>
      </c>
      <c r="AU3" s="12" t="s">
        <v>362</v>
      </c>
      <c r="AV3" s="12" t="s">
        <v>142</v>
      </c>
      <c r="AY3" s="32">
        <v>107.5</v>
      </c>
      <c r="BA3" s="4"/>
    </row>
    <row r="4" spans="1:54" s="89" customFormat="1" ht="12" customHeight="1" x14ac:dyDescent="0.15">
      <c r="A4" s="89" t="s">
        <v>39</v>
      </c>
      <c r="B4" s="111">
        <v>200622</v>
      </c>
      <c r="C4" s="208" t="s">
        <v>1421</v>
      </c>
      <c r="D4" s="199" t="s">
        <v>200</v>
      </c>
      <c r="E4" s="89" t="s">
        <v>140</v>
      </c>
      <c r="F4" s="12" t="s">
        <v>140</v>
      </c>
      <c r="G4" s="12" t="s">
        <v>141</v>
      </c>
      <c r="H4" s="89" t="s">
        <v>141</v>
      </c>
      <c r="I4" s="12" t="s">
        <v>12</v>
      </c>
      <c r="J4" s="12" t="s">
        <v>0</v>
      </c>
      <c r="K4" s="12" t="s">
        <v>38</v>
      </c>
      <c r="L4" s="12"/>
      <c r="M4" s="12" t="s">
        <v>361</v>
      </c>
      <c r="N4" s="12" t="s">
        <v>146</v>
      </c>
      <c r="O4" s="89" t="s">
        <v>175</v>
      </c>
      <c r="Q4" s="89" t="s">
        <v>145</v>
      </c>
      <c r="R4" s="89" t="s">
        <v>142</v>
      </c>
      <c r="S4" s="89" t="s">
        <v>143</v>
      </c>
      <c r="T4" s="89" t="s">
        <v>142</v>
      </c>
      <c r="U4" s="89" t="s">
        <v>380</v>
      </c>
      <c r="AG4" s="89" t="s">
        <v>176</v>
      </c>
      <c r="AH4" s="114" t="s">
        <v>177</v>
      </c>
      <c r="AK4" s="177" t="s">
        <v>1240</v>
      </c>
      <c r="AL4" s="113" t="s">
        <v>397</v>
      </c>
      <c r="AM4" s="89" t="s">
        <v>144</v>
      </c>
      <c r="AN4" s="89" t="s">
        <v>144</v>
      </c>
      <c r="AO4" s="12" t="s">
        <v>141</v>
      </c>
      <c r="AP4" s="89" t="s">
        <v>141</v>
      </c>
      <c r="AQ4" s="12" t="s">
        <v>0</v>
      </c>
      <c r="AR4" s="89" t="s">
        <v>38</v>
      </c>
      <c r="AS4" s="12" t="s">
        <v>142</v>
      </c>
      <c r="AT4" s="89" t="s">
        <v>145</v>
      </c>
      <c r="AU4" s="12" t="s">
        <v>362</v>
      </c>
      <c r="AV4" s="12" t="s">
        <v>142</v>
      </c>
      <c r="AW4" s="115"/>
      <c r="AY4" s="32">
        <v>107.5</v>
      </c>
      <c r="BA4" s="4"/>
    </row>
    <row r="5" spans="1:54" s="89" customFormat="1" ht="12" customHeight="1" x14ac:dyDescent="0.15">
      <c r="A5" s="89" t="s">
        <v>37</v>
      </c>
      <c r="B5" s="111">
        <v>200628</v>
      </c>
      <c r="C5" s="208" t="s">
        <v>1422</v>
      </c>
      <c r="D5" s="199" t="s">
        <v>201</v>
      </c>
      <c r="E5" s="89" t="s">
        <v>140</v>
      </c>
      <c r="F5" s="12" t="s">
        <v>140</v>
      </c>
      <c r="G5" s="12" t="s">
        <v>141</v>
      </c>
      <c r="H5" s="89" t="s">
        <v>141</v>
      </c>
      <c r="I5" s="12" t="s">
        <v>12</v>
      </c>
      <c r="J5" s="12" t="s">
        <v>0</v>
      </c>
      <c r="K5" s="12" t="s">
        <v>38</v>
      </c>
      <c r="L5" s="12"/>
      <c r="M5" s="12" t="s">
        <v>361</v>
      </c>
      <c r="N5" s="12" t="s">
        <v>146</v>
      </c>
      <c r="O5" s="89" t="s">
        <v>175</v>
      </c>
      <c r="Q5" s="89" t="s">
        <v>145</v>
      </c>
      <c r="R5" s="89" t="s">
        <v>142</v>
      </c>
      <c r="S5" s="89" t="s">
        <v>143</v>
      </c>
      <c r="T5" s="89" t="s">
        <v>142</v>
      </c>
      <c r="U5" s="89" t="s">
        <v>380</v>
      </c>
      <c r="AG5" s="89" t="s">
        <v>176</v>
      </c>
      <c r="AH5" s="114" t="s">
        <v>177</v>
      </c>
      <c r="AJ5" s="116"/>
      <c r="AK5" s="177" t="s">
        <v>1241</v>
      </c>
      <c r="AL5" s="113" t="s">
        <v>424</v>
      </c>
      <c r="AM5" s="89" t="s">
        <v>144</v>
      </c>
      <c r="AN5" s="89" t="s">
        <v>144</v>
      </c>
      <c r="AO5" s="12" t="s">
        <v>141</v>
      </c>
      <c r="AP5" s="89" t="s">
        <v>141</v>
      </c>
      <c r="AQ5" s="12" t="s">
        <v>0</v>
      </c>
      <c r="AR5" s="89" t="s">
        <v>38</v>
      </c>
      <c r="AS5" s="12" t="s">
        <v>142</v>
      </c>
      <c r="AT5" s="89" t="s">
        <v>145</v>
      </c>
      <c r="AU5" s="12" t="s">
        <v>362</v>
      </c>
      <c r="AV5" s="12" t="s">
        <v>142</v>
      </c>
      <c r="AW5" s="115"/>
      <c r="AY5" s="32">
        <v>107.5</v>
      </c>
      <c r="BA5" s="4"/>
    </row>
    <row r="6" spans="1:54" s="89" customFormat="1" ht="12" customHeight="1" x14ac:dyDescent="0.15">
      <c r="A6" s="89" t="s">
        <v>40</v>
      </c>
      <c r="B6" s="111">
        <v>200619</v>
      </c>
      <c r="C6" s="208" t="s">
        <v>892</v>
      </c>
      <c r="D6" s="199" t="s">
        <v>202</v>
      </c>
      <c r="E6" s="89" t="s">
        <v>140</v>
      </c>
      <c r="F6" s="12" t="s">
        <v>140</v>
      </c>
      <c r="G6" s="12" t="s">
        <v>141</v>
      </c>
      <c r="H6" s="89" t="s">
        <v>141</v>
      </c>
      <c r="I6" s="12" t="s">
        <v>12</v>
      </c>
      <c r="J6" s="12" t="s">
        <v>0</v>
      </c>
      <c r="K6" s="12" t="s">
        <v>38</v>
      </c>
      <c r="L6" s="12"/>
      <c r="M6" s="12" t="s">
        <v>361</v>
      </c>
      <c r="N6" s="12" t="s">
        <v>146</v>
      </c>
      <c r="O6" s="89" t="s">
        <v>175</v>
      </c>
      <c r="Q6" s="89" t="s">
        <v>145</v>
      </c>
      <c r="R6" s="89" t="s">
        <v>142</v>
      </c>
      <c r="S6" s="89" t="s">
        <v>143</v>
      </c>
      <c r="T6" s="89" t="s">
        <v>142</v>
      </c>
      <c r="U6" s="89" t="s">
        <v>380</v>
      </c>
      <c r="AG6" s="89" t="s">
        <v>176</v>
      </c>
      <c r="AH6" s="114" t="s">
        <v>177</v>
      </c>
      <c r="AK6" s="177" t="s">
        <v>1210</v>
      </c>
      <c r="AL6" s="113" t="s">
        <v>283</v>
      </c>
      <c r="AM6" s="89" t="s">
        <v>144</v>
      </c>
      <c r="AN6" s="89" t="s">
        <v>144</v>
      </c>
      <c r="AO6" s="12" t="s">
        <v>141</v>
      </c>
      <c r="AP6" s="89" t="s">
        <v>141</v>
      </c>
      <c r="AQ6" s="12" t="s">
        <v>0</v>
      </c>
      <c r="AR6" s="89" t="s">
        <v>38</v>
      </c>
      <c r="AS6" s="12" t="s">
        <v>142</v>
      </c>
      <c r="AT6" s="89" t="s">
        <v>145</v>
      </c>
      <c r="AU6" s="12" t="s">
        <v>362</v>
      </c>
      <c r="AV6" s="12" t="s">
        <v>142</v>
      </c>
      <c r="AY6" s="32">
        <v>107.5</v>
      </c>
      <c r="BA6" s="4"/>
    </row>
    <row r="7" spans="1:54" s="89" customFormat="1" ht="12" customHeight="1" x14ac:dyDescent="0.15">
      <c r="A7" s="89" t="s">
        <v>178</v>
      </c>
      <c r="B7" s="111">
        <v>200629</v>
      </c>
      <c r="C7" s="208" t="s">
        <v>1423</v>
      </c>
      <c r="D7" s="199" t="s">
        <v>203</v>
      </c>
      <c r="E7" s="89" t="s">
        <v>140</v>
      </c>
      <c r="F7" s="12" t="s">
        <v>140</v>
      </c>
      <c r="G7" s="12" t="s">
        <v>141</v>
      </c>
      <c r="H7" s="89" t="s">
        <v>141</v>
      </c>
      <c r="I7" s="12" t="s">
        <v>12</v>
      </c>
      <c r="J7" s="12" t="s">
        <v>0</v>
      </c>
      <c r="K7" s="12" t="s">
        <v>38</v>
      </c>
      <c r="L7" s="12"/>
      <c r="M7" s="12" t="s">
        <v>361</v>
      </c>
      <c r="N7" s="12" t="s">
        <v>146</v>
      </c>
      <c r="O7" s="89" t="s">
        <v>175</v>
      </c>
      <c r="Q7" s="89" t="s">
        <v>145</v>
      </c>
      <c r="R7" s="89" t="s">
        <v>142</v>
      </c>
      <c r="S7" s="89" t="s">
        <v>143</v>
      </c>
      <c r="T7" s="89" t="s">
        <v>142</v>
      </c>
      <c r="U7" s="89" t="s">
        <v>380</v>
      </c>
      <c r="AG7" s="89" t="s">
        <v>176</v>
      </c>
      <c r="AH7" s="114" t="s">
        <v>177</v>
      </c>
      <c r="AK7" s="177" t="s">
        <v>1242</v>
      </c>
      <c r="AL7" s="113" t="s">
        <v>395</v>
      </c>
      <c r="AM7" s="89" t="s">
        <v>144</v>
      </c>
      <c r="AN7" s="89" t="s">
        <v>144</v>
      </c>
      <c r="AO7" s="12" t="s">
        <v>141</v>
      </c>
      <c r="AP7" s="89" t="s">
        <v>141</v>
      </c>
      <c r="AQ7" s="12" t="s">
        <v>0</v>
      </c>
      <c r="AR7" s="89" t="s">
        <v>38</v>
      </c>
      <c r="AS7" s="12" t="s">
        <v>142</v>
      </c>
      <c r="AT7" s="89" t="s">
        <v>145</v>
      </c>
      <c r="AU7" s="12" t="s">
        <v>362</v>
      </c>
      <c r="AV7" s="12" t="s">
        <v>142</v>
      </c>
      <c r="AY7" s="32">
        <v>107.5</v>
      </c>
      <c r="BA7" s="4"/>
    </row>
    <row r="8" spans="1:54" s="162" customFormat="1" ht="12" customHeight="1" x14ac:dyDescent="0.15">
      <c r="A8" s="162" t="s">
        <v>41</v>
      </c>
      <c r="B8" s="170">
        <v>200632</v>
      </c>
      <c r="C8" s="208" t="s">
        <v>888</v>
      </c>
      <c r="D8" s="199" t="s">
        <v>179</v>
      </c>
      <c r="E8" s="162" t="s">
        <v>140</v>
      </c>
      <c r="F8" s="171" t="s">
        <v>140</v>
      </c>
      <c r="G8" s="171" t="s">
        <v>141</v>
      </c>
      <c r="H8" s="162" t="s">
        <v>141</v>
      </c>
      <c r="I8" s="171" t="s">
        <v>12</v>
      </c>
      <c r="J8" s="171" t="s">
        <v>0</v>
      </c>
      <c r="K8" s="171" t="s">
        <v>38</v>
      </c>
      <c r="L8" s="171"/>
      <c r="M8" s="171" t="s">
        <v>361</v>
      </c>
      <c r="N8" s="171" t="s">
        <v>146</v>
      </c>
      <c r="O8" s="162" t="s">
        <v>175</v>
      </c>
      <c r="Q8" s="162" t="s">
        <v>145</v>
      </c>
      <c r="R8" s="162" t="s">
        <v>142</v>
      </c>
      <c r="S8" s="162" t="s">
        <v>143</v>
      </c>
      <c r="T8" s="162" t="s">
        <v>142</v>
      </c>
      <c r="U8" s="162" t="s">
        <v>380</v>
      </c>
      <c r="AG8" s="162" t="s">
        <v>176</v>
      </c>
      <c r="AH8" s="179" t="s">
        <v>177</v>
      </c>
      <c r="AK8" s="180" t="s">
        <v>935</v>
      </c>
      <c r="AL8" s="178" t="s">
        <v>425</v>
      </c>
      <c r="AM8" s="162" t="s">
        <v>144</v>
      </c>
      <c r="AN8" s="162" t="s">
        <v>144</v>
      </c>
      <c r="AO8" s="171" t="s">
        <v>141</v>
      </c>
      <c r="AP8" s="162" t="s">
        <v>141</v>
      </c>
      <c r="AQ8" s="171" t="s">
        <v>0</v>
      </c>
      <c r="AR8" s="162" t="s">
        <v>38</v>
      </c>
      <c r="AS8" s="171" t="s">
        <v>142</v>
      </c>
      <c r="AT8" s="162" t="s">
        <v>145</v>
      </c>
      <c r="AU8" s="171" t="s">
        <v>362</v>
      </c>
      <c r="AV8" s="171" t="s">
        <v>142</v>
      </c>
      <c r="AY8" s="181">
        <v>107.5</v>
      </c>
      <c r="BA8" s="182"/>
    </row>
    <row r="9" spans="1:54" s="89" customFormat="1" ht="12" customHeight="1" x14ac:dyDescent="0.15">
      <c r="A9" s="89" t="s">
        <v>42</v>
      </c>
      <c r="B9" s="111">
        <v>200623</v>
      </c>
      <c r="C9" s="208" t="s">
        <v>1424</v>
      </c>
      <c r="D9" s="199" t="s">
        <v>204</v>
      </c>
      <c r="E9" s="89" t="s">
        <v>140</v>
      </c>
      <c r="F9" s="12" t="s">
        <v>140</v>
      </c>
      <c r="G9" s="12" t="s">
        <v>141</v>
      </c>
      <c r="H9" s="89" t="s">
        <v>141</v>
      </c>
      <c r="I9" s="12" t="s">
        <v>12</v>
      </c>
      <c r="J9" s="12" t="s">
        <v>0</v>
      </c>
      <c r="K9" s="12" t="s">
        <v>38</v>
      </c>
      <c r="L9" s="12"/>
      <c r="M9" s="12" t="s">
        <v>361</v>
      </c>
      <c r="N9" s="12" t="s">
        <v>146</v>
      </c>
      <c r="O9" s="89" t="s">
        <v>175</v>
      </c>
      <c r="Q9" s="89" t="s">
        <v>145</v>
      </c>
      <c r="R9" s="89" t="s">
        <v>142</v>
      </c>
      <c r="S9" s="89" t="s">
        <v>143</v>
      </c>
      <c r="T9" s="89" t="s">
        <v>142</v>
      </c>
      <c r="U9" s="89" t="s">
        <v>380</v>
      </c>
      <c r="AG9" s="89" t="s">
        <v>176</v>
      </c>
      <c r="AH9" s="114" t="s">
        <v>177</v>
      </c>
      <c r="AK9" s="183" t="s">
        <v>1243</v>
      </c>
      <c r="AL9" s="113" t="s">
        <v>284</v>
      </c>
      <c r="AM9" s="89" t="s">
        <v>144</v>
      </c>
      <c r="AN9" s="89" t="s">
        <v>144</v>
      </c>
      <c r="AO9" s="12" t="s">
        <v>141</v>
      </c>
      <c r="AP9" s="89" t="s">
        <v>141</v>
      </c>
      <c r="AQ9" s="12" t="s">
        <v>0</v>
      </c>
      <c r="AR9" s="89" t="s">
        <v>38</v>
      </c>
      <c r="AS9" s="12" t="s">
        <v>142</v>
      </c>
      <c r="AT9" s="89" t="s">
        <v>145</v>
      </c>
      <c r="AU9" s="12" t="s">
        <v>362</v>
      </c>
      <c r="AV9" s="12" t="s">
        <v>142</v>
      </c>
      <c r="AY9" s="32">
        <v>107.5</v>
      </c>
      <c r="BA9" s="4"/>
    </row>
    <row r="10" spans="1:54" s="89" customFormat="1" ht="12" customHeight="1" x14ac:dyDescent="0.15">
      <c r="A10" s="89" t="s">
        <v>44</v>
      </c>
      <c r="B10" s="111">
        <v>200617</v>
      </c>
      <c r="C10" s="208" t="s">
        <v>1425</v>
      </c>
      <c r="D10" s="199" t="s">
        <v>205</v>
      </c>
      <c r="E10" s="89" t="s">
        <v>140</v>
      </c>
      <c r="F10" s="12" t="s">
        <v>140</v>
      </c>
      <c r="G10" s="12" t="s">
        <v>141</v>
      </c>
      <c r="H10" s="89" t="s">
        <v>141</v>
      </c>
      <c r="I10" s="12" t="s">
        <v>12</v>
      </c>
      <c r="J10" s="12" t="s">
        <v>0</v>
      </c>
      <c r="K10" s="12" t="s">
        <v>38</v>
      </c>
      <c r="L10" s="12"/>
      <c r="M10" s="12" t="s">
        <v>361</v>
      </c>
      <c r="N10" s="12" t="s">
        <v>146</v>
      </c>
      <c r="O10" s="89" t="s">
        <v>175</v>
      </c>
      <c r="Q10" s="89" t="s">
        <v>145</v>
      </c>
      <c r="R10" s="89" t="s">
        <v>142</v>
      </c>
      <c r="S10" s="89" t="s">
        <v>143</v>
      </c>
      <c r="T10" s="89" t="s">
        <v>142</v>
      </c>
      <c r="U10" s="89" t="s">
        <v>380</v>
      </c>
      <c r="AG10" s="89" t="s">
        <v>176</v>
      </c>
      <c r="AH10" s="114" t="s">
        <v>177</v>
      </c>
      <c r="AK10" s="183" t="s">
        <v>1244</v>
      </c>
      <c r="AL10" s="113" t="s">
        <v>285</v>
      </c>
      <c r="AM10" s="89" t="s">
        <v>144</v>
      </c>
      <c r="AN10" s="89" t="s">
        <v>144</v>
      </c>
      <c r="AO10" s="12" t="s">
        <v>141</v>
      </c>
      <c r="AP10" s="89" t="s">
        <v>141</v>
      </c>
      <c r="AQ10" s="12" t="s">
        <v>0</v>
      </c>
      <c r="AR10" s="89" t="s">
        <v>38</v>
      </c>
      <c r="AS10" s="12" t="s">
        <v>142</v>
      </c>
      <c r="AT10" s="89" t="s">
        <v>145</v>
      </c>
      <c r="AU10" s="12" t="s">
        <v>362</v>
      </c>
      <c r="AV10" s="12" t="s">
        <v>142</v>
      </c>
      <c r="AY10" s="32">
        <v>107.5</v>
      </c>
      <c r="BA10" s="4"/>
    </row>
    <row r="11" spans="1:54" s="89" customFormat="1" ht="12" customHeight="1" x14ac:dyDescent="0.15">
      <c r="A11" s="89" t="s">
        <v>46</v>
      </c>
      <c r="B11" s="111">
        <v>200618</v>
      </c>
      <c r="C11" s="208" t="s">
        <v>1426</v>
      </c>
      <c r="D11" s="199" t="s">
        <v>1104</v>
      </c>
      <c r="E11" s="89" t="s">
        <v>140</v>
      </c>
      <c r="F11" s="12" t="s">
        <v>140</v>
      </c>
      <c r="G11" s="12" t="s">
        <v>141</v>
      </c>
      <c r="H11" s="89" t="s">
        <v>141</v>
      </c>
      <c r="I11" s="12" t="s">
        <v>12</v>
      </c>
      <c r="J11" s="12" t="s">
        <v>0</v>
      </c>
      <c r="K11" s="12" t="s">
        <v>38</v>
      </c>
      <c r="L11" s="12"/>
      <c r="M11" s="12" t="s">
        <v>361</v>
      </c>
      <c r="N11" s="12" t="s">
        <v>146</v>
      </c>
      <c r="O11" s="89" t="s">
        <v>175</v>
      </c>
      <c r="Q11" s="89" t="s">
        <v>145</v>
      </c>
      <c r="R11" s="89" t="s">
        <v>142</v>
      </c>
      <c r="S11" s="89" t="s">
        <v>143</v>
      </c>
      <c r="T11" s="89" t="s">
        <v>142</v>
      </c>
      <c r="U11" s="89" t="s">
        <v>380</v>
      </c>
      <c r="AG11" s="89" t="s">
        <v>176</v>
      </c>
      <c r="AH11" s="114" t="s">
        <v>177</v>
      </c>
      <c r="AK11" s="183" t="s">
        <v>1245</v>
      </c>
      <c r="AL11" s="113" t="s">
        <v>1106</v>
      </c>
      <c r="AM11" s="89" t="s">
        <v>144</v>
      </c>
      <c r="AN11" s="89" t="s">
        <v>144</v>
      </c>
      <c r="AO11" s="12" t="s">
        <v>141</v>
      </c>
      <c r="AP11" s="89" t="s">
        <v>141</v>
      </c>
      <c r="AQ11" s="12" t="s">
        <v>0</v>
      </c>
      <c r="AR11" s="89" t="s">
        <v>38</v>
      </c>
      <c r="AS11" s="12" t="s">
        <v>142</v>
      </c>
      <c r="AT11" s="89" t="s">
        <v>145</v>
      </c>
      <c r="AU11" s="12" t="s">
        <v>362</v>
      </c>
      <c r="AV11" s="12" t="s">
        <v>142</v>
      </c>
      <c r="AY11" s="32">
        <v>107.5</v>
      </c>
      <c r="BA11" s="4"/>
    </row>
    <row r="12" spans="1:54" s="89" customFormat="1" ht="12" customHeight="1" x14ac:dyDescent="0.15">
      <c r="A12" s="89" t="s">
        <v>47</v>
      </c>
      <c r="B12" s="111">
        <v>200630</v>
      </c>
      <c r="C12" s="208" t="s">
        <v>1427</v>
      </c>
      <c r="D12" s="199" t="s">
        <v>206</v>
      </c>
      <c r="E12" s="89" t="s">
        <v>140</v>
      </c>
      <c r="F12" s="12" t="s">
        <v>140</v>
      </c>
      <c r="G12" s="12" t="s">
        <v>141</v>
      </c>
      <c r="H12" s="89" t="s">
        <v>141</v>
      </c>
      <c r="I12" s="12" t="s">
        <v>12</v>
      </c>
      <c r="J12" s="12" t="s">
        <v>0</v>
      </c>
      <c r="K12" s="12" t="s">
        <v>38</v>
      </c>
      <c r="L12" s="12"/>
      <c r="M12" s="12" t="s">
        <v>361</v>
      </c>
      <c r="N12" s="12" t="s">
        <v>146</v>
      </c>
      <c r="O12" s="89" t="s">
        <v>175</v>
      </c>
      <c r="Q12" s="89" t="s">
        <v>145</v>
      </c>
      <c r="R12" s="89" t="s">
        <v>142</v>
      </c>
      <c r="S12" s="89" t="s">
        <v>143</v>
      </c>
      <c r="T12" s="89" t="s">
        <v>142</v>
      </c>
      <c r="U12" s="89" t="s">
        <v>380</v>
      </c>
      <c r="AG12" s="89" t="s">
        <v>176</v>
      </c>
      <c r="AH12" s="114" t="s">
        <v>177</v>
      </c>
      <c r="AK12" s="183" t="s">
        <v>1246</v>
      </c>
      <c r="AL12" s="113" t="s">
        <v>286</v>
      </c>
      <c r="AM12" s="89" t="s">
        <v>144</v>
      </c>
      <c r="AN12" s="89" t="s">
        <v>144</v>
      </c>
      <c r="AO12" s="12" t="s">
        <v>141</v>
      </c>
      <c r="AP12" s="89" t="s">
        <v>141</v>
      </c>
      <c r="AQ12" s="12" t="s">
        <v>0</v>
      </c>
      <c r="AR12" s="89" t="s">
        <v>38</v>
      </c>
      <c r="AS12" s="12" t="s">
        <v>142</v>
      </c>
      <c r="AT12" s="89" t="s">
        <v>145</v>
      </c>
      <c r="AU12" s="12" t="s">
        <v>362</v>
      </c>
      <c r="AV12" s="12" t="s">
        <v>142</v>
      </c>
      <c r="AY12" s="32">
        <v>107.5</v>
      </c>
      <c r="BA12" s="4"/>
    </row>
    <row r="13" spans="1:54" s="89" customFormat="1" ht="12" customHeight="1" x14ac:dyDescent="0.15">
      <c r="A13" s="89" t="s">
        <v>48</v>
      </c>
      <c r="B13" s="111">
        <v>200624</v>
      </c>
      <c r="C13" s="208" t="s">
        <v>1428</v>
      </c>
      <c r="D13" s="199" t="s">
        <v>1209</v>
      </c>
      <c r="E13" s="89" t="s">
        <v>140</v>
      </c>
      <c r="F13" s="12" t="s">
        <v>140</v>
      </c>
      <c r="G13" s="12" t="s">
        <v>141</v>
      </c>
      <c r="H13" s="89" t="s">
        <v>141</v>
      </c>
      <c r="I13" s="12" t="s">
        <v>12</v>
      </c>
      <c r="J13" s="12" t="s">
        <v>0</v>
      </c>
      <c r="K13" s="12" t="s">
        <v>38</v>
      </c>
      <c r="L13" s="12"/>
      <c r="M13" s="12" t="s">
        <v>361</v>
      </c>
      <c r="N13" s="12" t="s">
        <v>146</v>
      </c>
      <c r="O13" s="89" t="s">
        <v>175</v>
      </c>
      <c r="Q13" s="89" t="s">
        <v>145</v>
      </c>
      <c r="R13" s="89" t="s">
        <v>142</v>
      </c>
      <c r="S13" s="89" t="s">
        <v>143</v>
      </c>
      <c r="T13" s="89" t="s">
        <v>142</v>
      </c>
      <c r="U13" s="89" t="s">
        <v>380</v>
      </c>
      <c r="AG13" s="89" t="s">
        <v>176</v>
      </c>
      <c r="AH13" s="114" t="s">
        <v>177</v>
      </c>
      <c r="AK13" s="183" t="s">
        <v>1247</v>
      </c>
      <c r="AL13" s="113" t="s">
        <v>287</v>
      </c>
      <c r="AM13" s="89" t="s">
        <v>144</v>
      </c>
      <c r="AN13" s="89" t="s">
        <v>144</v>
      </c>
      <c r="AO13" s="12" t="s">
        <v>141</v>
      </c>
      <c r="AP13" s="89" t="s">
        <v>141</v>
      </c>
      <c r="AQ13" s="12" t="s">
        <v>0</v>
      </c>
      <c r="AR13" s="89" t="s">
        <v>38</v>
      </c>
      <c r="AS13" s="12" t="s">
        <v>142</v>
      </c>
      <c r="AT13" s="89" t="s">
        <v>145</v>
      </c>
      <c r="AU13" s="12" t="s">
        <v>362</v>
      </c>
      <c r="AV13" s="12" t="s">
        <v>142</v>
      </c>
      <c r="AY13" s="32">
        <v>107.5</v>
      </c>
      <c r="BA13" s="4"/>
    </row>
    <row r="14" spans="1:54" s="89" customFormat="1" ht="12" customHeight="1" x14ac:dyDescent="0.15">
      <c r="A14" s="89" t="s">
        <v>50</v>
      </c>
      <c r="B14" s="111">
        <v>200631</v>
      </c>
      <c r="C14" s="208" t="s">
        <v>1429</v>
      </c>
      <c r="D14" s="199" t="s">
        <v>207</v>
      </c>
      <c r="E14" s="89" t="s">
        <v>140</v>
      </c>
      <c r="F14" s="12" t="s">
        <v>140</v>
      </c>
      <c r="G14" s="12" t="s">
        <v>141</v>
      </c>
      <c r="H14" s="89" t="s">
        <v>141</v>
      </c>
      <c r="I14" s="12" t="s">
        <v>12</v>
      </c>
      <c r="J14" s="12" t="s">
        <v>0</v>
      </c>
      <c r="K14" s="12" t="s">
        <v>38</v>
      </c>
      <c r="L14" s="12"/>
      <c r="M14" s="12" t="s">
        <v>361</v>
      </c>
      <c r="N14" s="12" t="s">
        <v>146</v>
      </c>
      <c r="O14" s="89" t="s">
        <v>175</v>
      </c>
      <c r="Q14" s="89" t="s">
        <v>145</v>
      </c>
      <c r="R14" s="89" t="s">
        <v>142</v>
      </c>
      <c r="S14" s="89" t="s">
        <v>143</v>
      </c>
      <c r="T14" s="89" t="s">
        <v>142</v>
      </c>
      <c r="U14" s="89" t="s">
        <v>380</v>
      </c>
      <c r="AG14" s="89" t="s">
        <v>176</v>
      </c>
      <c r="AH14" s="114" t="s">
        <v>177</v>
      </c>
      <c r="AK14" s="183" t="s">
        <v>1248</v>
      </c>
      <c r="AL14" s="113" t="s">
        <v>288</v>
      </c>
      <c r="AM14" s="89" t="s">
        <v>144</v>
      </c>
      <c r="AN14" s="89" t="s">
        <v>144</v>
      </c>
      <c r="AO14" s="12" t="s">
        <v>141</v>
      </c>
      <c r="AP14" s="89" t="s">
        <v>141</v>
      </c>
      <c r="AQ14" s="12" t="s">
        <v>0</v>
      </c>
      <c r="AR14" s="89" t="s">
        <v>38</v>
      </c>
      <c r="AS14" s="12" t="s">
        <v>142</v>
      </c>
      <c r="AT14" s="89" t="s">
        <v>145</v>
      </c>
      <c r="AU14" s="12" t="s">
        <v>362</v>
      </c>
      <c r="AV14" s="12" t="s">
        <v>142</v>
      </c>
      <c r="AY14" s="32">
        <v>107.5</v>
      </c>
      <c r="BA14" s="4"/>
    </row>
    <row r="15" spans="1:54" s="89" customFormat="1" ht="12" customHeight="1" x14ac:dyDescent="0.15">
      <c r="A15" s="89" t="s">
        <v>51</v>
      </c>
      <c r="B15" s="111">
        <v>200651</v>
      </c>
      <c r="C15" s="208" t="s">
        <v>1430</v>
      </c>
      <c r="D15" s="199" t="s">
        <v>208</v>
      </c>
      <c r="E15" s="89" t="s">
        <v>140</v>
      </c>
      <c r="F15" s="12" t="s">
        <v>140</v>
      </c>
      <c r="G15" s="12" t="s">
        <v>141</v>
      </c>
      <c r="H15" s="89" t="s">
        <v>141</v>
      </c>
      <c r="I15" s="12" t="s">
        <v>12</v>
      </c>
      <c r="J15" s="12" t="s">
        <v>0</v>
      </c>
      <c r="K15" s="12" t="s">
        <v>38</v>
      </c>
      <c r="L15" s="12"/>
      <c r="M15" s="12" t="s">
        <v>361</v>
      </c>
      <c r="N15" s="12" t="s">
        <v>146</v>
      </c>
      <c r="O15" s="89" t="s">
        <v>175</v>
      </c>
      <c r="Q15" s="89" t="s">
        <v>145</v>
      </c>
      <c r="R15" s="89" t="s">
        <v>142</v>
      </c>
      <c r="S15" s="89" t="s">
        <v>143</v>
      </c>
      <c r="T15" s="89" t="s">
        <v>142</v>
      </c>
      <c r="U15" s="89" t="s">
        <v>380</v>
      </c>
      <c r="AG15" s="89" t="s">
        <v>176</v>
      </c>
      <c r="AH15" s="114" t="s">
        <v>177</v>
      </c>
      <c r="AK15" s="183" t="s">
        <v>1249</v>
      </c>
      <c r="AL15" s="113" t="s">
        <v>289</v>
      </c>
      <c r="AM15" s="89" t="s">
        <v>144</v>
      </c>
      <c r="AN15" s="89" t="s">
        <v>144</v>
      </c>
      <c r="AO15" s="12" t="s">
        <v>141</v>
      </c>
      <c r="AP15" s="89" t="s">
        <v>141</v>
      </c>
      <c r="AQ15" s="12" t="s">
        <v>0</v>
      </c>
      <c r="AR15" s="89" t="s">
        <v>38</v>
      </c>
      <c r="AS15" s="12" t="s">
        <v>142</v>
      </c>
      <c r="AT15" s="89" t="s">
        <v>145</v>
      </c>
      <c r="AU15" s="12" t="s">
        <v>362</v>
      </c>
      <c r="AV15" s="12" t="s">
        <v>142</v>
      </c>
      <c r="AY15" s="32">
        <v>107.5</v>
      </c>
      <c r="BA15" s="4"/>
    </row>
    <row r="16" spans="1:54" s="89" customFormat="1" ht="12" customHeight="1" x14ac:dyDescent="0.15">
      <c r="A16" s="89" t="s">
        <v>52</v>
      </c>
      <c r="B16" s="111">
        <v>200795</v>
      </c>
      <c r="C16" s="208" t="s">
        <v>1431</v>
      </c>
      <c r="D16" s="199" t="s">
        <v>373</v>
      </c>
      <c r="E16" s="89" t="s">
        <v>140</v>
      </c>
      <c r="F16" s="12" t="s">
        <v>140</v>
      </c>
      <c r="G16" s="12" t="s">
        <v>141</v>
      </c>
      <c r="H16" s="89" t="s">
        <v>141</v>
      </c>
      <c r="I16" s="12" t="s">
        <v>12</v>
      </c>
      <c r="J16" s="12" t="s">
        <v>0</v>
      </c>
      <c r="K16" s="12" t="s">
        <v>38</v>
      </c>
      <c r="L16" s="12"/>
      <c r="M16" s="12" t="s">
        <v>361</v>
      </c>
      <c r="N16" s="12" t="s">
        <v>146</v>
      </c>
      <c r="O16" s="89" t="s">
        <v>175</v>
      </c>
      <c r="Q16" s="89" t="s">
        <v>145</v>
      </c>
      <c r="R16" s="89" t="s">
        <v>142</v>
      </c>
      <c r="S16" s="89" t="s">
        <v>143</v>
      </c>
      <c r="T16" s="89" t="s">
        <v>142</v>
      </c>
      <c r="U16" s="89" t="s">
        <v>380</v>
      </c>
      <c r="AG16" s="89" t="s">
        <v>176</v>
      </c>
      <c r="AH16" s="114" t="s">
        <v>177</v>
      </c>
      <c r="AK16" s="183" t="s">
        <v>1250</v>
      </c>
      <c r="AL16" s="113" t="s">
        <v>392</v>
      </c>
      <c r="AM16" s="89" t="s">
        <v>144</v>
      </c>
      <c r="AN16" s="89" t="s">
        <v>144</v>
      </c>
      <c r="AO16" s="12" t="s">
        <v>141</v>
      </c>
      <c r="AP16" s="89" t="s">
        <v>141</v>
      </c>
      <c r="AQ16" s="12" t="s">
        <v>0</v>
      </c>
      <c r="AR16" s="89" t="s">
        <v>38</v>
      </c>
      <c r="AS16" s="12" t="s">
        <v>142</v>
      </c>
      <c r="AT16" s="89" t="s">
        <v>145</v>
      </c>
      <c r="AU16" s="12" t="s">
        <v>362</v>
      </c>
      <c r="AV16" s="12" t="s">
        <v>142</v>
      </c>
      <c r="AY16" s="32">
        <v>107.5</v>
      </c>
      <c r="BA16" s="4"/>
    </row>
    <row r="17" spans="1:53" s="89" customFormat="1" ht="12" customHeight="1" x14ac:dyDescent="0.15">
      <c r="A17" s="89" t="s">
        <v>43</v>
      </c>
      <c r="B17" s="111">
        <v>200796</v>
      </c>
      <c r="C17" s="208" t="s">
        <v>1432</v>
      </c>
      <c r="D17" s="199" t="s">
        <v>901</v>
      </c>
      <c r="E17" s="89" t="s">
        <v>140</v>
      </c>
      <c r="F17" s="12" t="s">
        <v>140</v>
      </c>
      <c r="G17" s="12" t="s">
        <v>141</v>
      </c>
      <c r="H17" s="89" t="s">
        <v>141</v>
      </c>
      <c r="I17" s="12" t="s">
        <v>12</v>
      </c>
      <c r="J17" s="12" t="s">
        <v>0</v>
      </c>
      <c r="K17" s="12" t="s">
        <v>38</v>
      </c>
      <c r="L17" s="12"/>
      <c r="M17" s="12" t="s">
        <v>361</v>
      </c>
      <c r="N17" s="12" t="s">
        <v>146</v>
      </c>
      <c r="O17" s="89" t="s">
        <v>175</v>
      </c>
      <c r="Q17" s="89" t="s">
        <v>145</v>
      </c>
      <c r="R17" s="89" t="s">
        <v>142</v>
      </c>
      <c r="S17" s="89" t="s">
        <v>143</v>
      </c>
      <c r="T17" s="89" t="s">
        <v>142</v>
      </c>
      <c r="U17" s="89" t="s">
        <v>380</v>
      </c>
      <c r="AG17" s="89" t="s">
        <v>176</v>
      </c>
      <c r="AH17" s="114" t="s">
        <v>177</v>
      </c>
      <c r="AK17" s="183" t="s">
        <v>1251</v>
      </c>
      <c r="AL17" s="113" t="s">
        <v>903</v>
      </c>
      <c r="AM17" s="89" t="s">
        <v>144</v>
      </c>
      <c r="AN17" s="89" t="s">
        <v>144</v>
      </c>
      <c r="AO17" s="12" t="s">
        <v>141</v>
      </c>
      <c r="AP17" s="89" t="s">
        <v>141</v>
      </c>
      <c r="AQ17" s="12" t="s">
        <v>0</v>
      </c>
      <c r="AR17" s="89" t="s">
        <v>38</v>
      </c>
      <c r="AS17" s="12" t="s">
        <v>142</v>
      </c>
      <c r="AT17" s="89" t="s">
        <v>145</v>
      </c>
      <c r="AU17" s="12" t="s">
        <v>362</v>
      </c>
      <c r="AV17" s="12" t="s">
        <v>142</v>
      </c>
      <c r="AY17" s="32">
        <v>107.5</v>
      </c>
      <c r="BA17" s="4"/>
    </row>
    <row r="18" spans="1:53" s="89" customFormat="1" ht="12" customHeight="1" x14ac:dyDescent="0.15">
      <c r="A18" s="89" t="s">
        <v>53</v>
      </c>
      <c r="B18" s="111">
        <v>200798</v>
      </c>
      <c r="C18" s="208" t="s">
        <v>1433</v>
      </c>
      <c r="D18" s="199" t="s">
        <v>209</v>
      </c>
      <c r="E18" s="89" t="s">
        <v>140</v>
      </c>
      <c r="F18" s="12" t="s">
        <v>140</v>
      </c>
      <c r="G18" s="12" t="s">
        <v>141</v>
      </c>
      <c r="H18" s="89" t="s">
        <v>141</v>
      </c>
      <c r="I18" s="12" t="s">
        <v>12</v>
      </c>
      <c r="J18" s="12" t="s">
        <v>0</v>
      </c>
      <c r="K18" s="12" t="s">
        <v>38</v>
      </c>
      <c r="L18" s="12"/>
      <c r="M18" s="12" t="s">
        <v>361</v>
      </c>
      <c r="N18" s="12" t="s">
        <v>146</v>
      </c>
      <c r="O18" s="89" t="s">
        <v>175</v>
      </c>
      <c r="Q18" s="89" t="s">
        <v>145</v>
      </c>
      <c r="R18" s="89" t="s">
        <v>142</v>
      </c>
      <c r="S18" s="89" t="s">
        <v>143</v>
      </c>
      <c r="T18" s="89" t="s">
        <v>142</v>
      </c>
      <c r="U18" s="89" t="s">
        <v>380</v>
      </c>
      <c r="AG18" s="89" t="s">
        <v>176</v>
      </c>
      <c r="AH18" s="114" t="s">
        <v>177</v>
      </c>
      <c r="AK18" s="183" t="s">
        <v>1252</v>
      </c>
      <c r="AL18" s="113" t="s">
        <v>366</v>
      </c>
      <c r="AM18" s="89" t="s">
        <v>144</v>
      </c>
      <c r="AN18" s="89" t="s">
        <v>144</v>
      </c>
      <c r="AO18" s="12" t="s">
        <v>141</v>
      </c>
      <c r="AP18" s="89" t="s">
        <v>141</v>
      </c>
      <c r="AQ18" s="12" t="s">
        <v>0</v>
      </c>
      <c r="AR18" s="89" t="s">
        <v>38</v>
      </c>
      <c r="AS18" s="12" t="s">
        <v>142</v>
      </c>
      <c r="AT18" s="89" t="s">
        <v>145</v>
      </c>
      <c r="AU18" s="12" t="s">
        <v>362</v>
      </c>
      <c r="AV18" s="12" t="s">
        <v>142</v>
      </c>
      <c r="AY18" s="32">
        <v>107.5</v>
      </c>
      <c r="BA18" s="4"/>
    </row>
    <row r="19" spans="1:53" s="89" customFormat="1" ht="12" customHeight="1" x14ac:dyDescent="0.15">
      <c r="A19" s="89" t="s">
        <v>54</v>
      </c>
      <c r="B19" s="111">
        <v>200863</v>
      </c>
      <c r="C19" s="208" t="s">
        <v>1434</v>
      </c>
      <c r="D19" s="199" t="s">
        <v>210</v>
      </c>
      <c r="E19" s="89" t="s">
        <v>140</v>
      </c>
      <c r="F19" s="12" t="s">
        <v>140</v>
      </c>
      <c r="G19" s="12" t="s">
        <v>141</v>
      </c>
      <c r="H19" s="89" t="s">
        <v>141</v>
      </c>
      <c r="I19" s="12" t="s">
        <v>12</v>
      </c>
      <c r="J19" s="12" t="s">
        <v>0</v>
      </c>
      <c r="K19" s="12" t="s">
        <v>38</v>
      </c>
      <c r="L19" s="12"/>
      <c r="M19" s="12" t="s">
        <v>361</v>
      </c>
      <c r="N19" s="12" t="s">
        <v>146</v>
      </c>
      <c r="O19" s="89" t="s">
        <v>175</v>
      </c>
      <c r="Q19" s="89" t="s">
        <v>145</v>
      </c>
      <c r="R19" s="89" t="s">
        <v>142</v>
      </c>
      <c r="S19" s="89" t="s">
        <v>143</v>
      </c>
      <c r="T19" s="89" t="s">
        <v>142</v>
      </c>
      <c r="U19" s="89" t="s">
        <v>380</v>
      </c>
      <c r="AG19" s="89" t="s">
        <v>176</v>
      </c>
      <c r="AH19" s="114" t="s">
        <v>177</v>
      </c>
      <c r="AK19" s="183" t="s">
        <v>1253</v>
      </c>
      <c r="AL19" s="113" t="s">
        <v>409</v>
      </c>
      <c r="AM19" s="89" t="s">
        <v>144</v>
      </c>
      <c r="AN19" s="89" t="s">
        <v>144</v>
      </c>
      <c r="AO19" s="12" t="s">
        <v>141</v>
      </c>
      <c r="AP19" s="89" t="s">
        <v>141</v>
      </c>
      <c r="AQ19" s="12" t="s">
        <v>0</v>
      </c>
      <c r="AR19" s="89" t="s">
        <v>38</v>
      </c>
      <c r="AS19" s="12" t="s">
        <v>142</v>
      </c>
      <c r="AT19" s="89" t="s">
        <v>145</v>
      </c>
      <c r="AU19" s="12" t="s">
        <v>362</v>
      </c>
      <c r="AV19" s="12" t="s">
        <v>142</v>
      </c>
      <c r="AY19" s="32">
        <v>107.5</v>
      </c>
      <c r="BA19" s="4"/>
    </row>
    <row r="20" spans="1:53" s="89" customFormat="1" ht="12" customHeight="1" x14ac:dyDescent="0.15">
      <c r="A20" s="89" t="s">
        <v>55</v>
      </c>
      <c r="B20" s="13">
        <v>200860</v>
      </c>
      <c r="C20" s="208" t="s">
        <v>1435</v>
      </c>
      <c r="D20" s="199" t="s">
        <v>376</v>
      </c>
      <c r="E20" s="7" t="s">
        <v>140</v>
      </c>
      <c r="F20" s="7" t="s">
        <v>140</v>
      </c>
      <c r="G20" s="7" t="s">
        <v>141</v>
      </c>
      <c r="H20" s="7" t="s">
        <v>141</v>
      </c>
      <c r="I20" s="7" t="s">
        <v>187</v>
      </c>
      <c r="J20" s="7" t="s">
        <v>37</v>
      </c>
      <c r="K20" s="12" t="s">
        <v>193</v>
      </c>
      <c r="L20" s="7"/>
      <c r="M20" s="7" t="s">
        <v>361</v>
      </c>
      <c r="N20" s="7" t="s">
        <v>146</v>
      </c>
      <c r="O20" s="7" t="s">
        <v>188</v>
      </c>
      <c r="P20" s="7"/>
      <c r="Q20" s="7" t="s">
        <v>145</v>
      </c>
      <c r="R20" s="7" t="s">
        <v>142</v>
      </c>
      <c r="S20" s="7" t="s">
        <v>143</v>
      </c>
      <c r="T20" s="7" t="s">
        <v>142</v>
      </c>
      <c r="U20" s="89" t="s">
        <v>380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 t="s">
        <v>159</v>
      </c>
      <c r="AH20" s="14" t="s">
        <v>160</v>
      </c>
      <c r="AI20" s="7"/>
      <c r="AJ20" s="7"/>
      <c r="AK20" s="84" t="s">
        <v>1254</v>
      </c>
      <c r="AL20" s="113" t="s">
        <v>937</v>
      </c>
      <c r="AM20" s="7" t="s">
        <v>144</v>
      </c>
      <c r="AN20" s="7" t="s">
        <v>144</v>
      </c>
      <c r="AO20" s="7" t="s">
        <v>141</v>
      </c>
      <c r="AP20" s="7" t="s">
        <v>141</v>
      </c>
      <c r="AQ20" s="7" t="s">
        <v>37</v>
      </c>
      <c r="AR20" s="7" t="s">
        <v>189</v>
      </c>
      <c r="AS20" s="7" t="s">
        <v>186</v>
      </c>
      <c r="AT20" s="7" t="s">
        <v>145</v>
      </c>
      <c r="AU20" s="12" t="s">
        <v>362</v>
      </c>
      <c r="AV20" s="7" t="s">
        <v>142</v>
      </c>
      <c r="AW20" s="7"/>
      <c r="AX20" s="7"/>
      <c r="AY20" s="80">
        <v>133.5</v>
      </c>
      <c r="BA20" s="4"/>
    </row>
    <row r="21" spans="1:53" s="89" customFormat="1" ht="12" customHeight="1" x14ac:dyDescent="0.15">
      <c r="A21" s="89" t="s">
        <v>56</v>
      </c>
      <c r="B21" s="111">
        <v>200864</v>
      </c>
      <c r="C21" s="208" t="s">
        <v>1436</v>
      </c>
      <c r="D21" s="199" t="s">
        <v>211</v>
      </c>
      <c r="E21" s="89" t="s">
        <v>140</v>
      </c>
      <c r="F21" s="12" t="s">
        <v>140</v>
      </c>
      <c r="G21" s="12" t="s">
        <v>141</v>
      </c>
      <c r="H21" s="89" t="s">
        <v>141</v>
      </c>
      <c r="I21" s="12" t="s">
        <v>12</v>
      </c>
      <c r="J21" s="12" t="s">
        <v>0</v>
      </c>
      <c r="K21" s="12" t="s">
        <v>38</v>
      </c>
      <c r="L21" s="12"/>
      <c r="M21" s="12" t="s">
        <v>361</v>
      </c>
      <c r="N21" s="12" t="s">
        <v>146</v>
      </c>
      <c r="O21" s="89" t="s">
        <v>175</v>
      </c>
      <c r="Q21" s="89" t="s">
        <v>145</v>
      </c>
      <c r="R21" s="89" t="s">
        <v>142</v>
      </c>
      <c r="S21" s="89" t="s">
        <v>143</v>
      </c>
      <c r="T21" s="89" t="s">
        <v>142</v>
      </c>
      <c r="U21" s="89" t="s">
        <v>380</v>
      </c>
      <c r="AG21" s="89" t="s">
        <v>176</v>
      </c>
      <c r="AH21" s="114" t="s">
        <v>177</v>
      </c>
      <c r="AK21" s="84" t="s">
        <v>1255</v>
      </c>
      <c r="AL21" s="113" t="s">
        <v>290</v>
      </c>
      <c r="AM21" s="89" t="s">
        <v>144</v>
      </c>
      <c r="AN21" s="89" t="s">
        <v>144</v>
      </c>
      <c r="AO21" s="12" t="s">
        <v>141</v>
      </c>
      <c r="AP21" s="89" t="s">
        <v>141</v>
      </c>
      <c r="AQ21" s="12" t="s">
        <v>0</v>
      </c>
      <c r="AR21" s="89" t="s">
        <v>38</v>
      </c>
      <c r="AS21" s="12" t="s">
        <v>142</v>
      </c>
      <c r="AT21" s="89" t="s">
        <v>145</v>
      </c>
      <c r="AU21" s="12" t="s">
        <v>362</v>
      </c>
      <c r="AV21" s="12" t="s">
        <v>142</v>
      </c>
      <c r="AY21" s="32">
        <v>107.5</v>
      </c>
      <c r="BA21" s="4"/>
    </row>
    <row r="22" spans="1:53" s="89" customFormat="1" ht="12" customHeight="1" x14ac:dyDescent="0.15">
      <c r="A22" s="89" t="s">
        <v>57</v>
      </c>
      <c r="B22" s="111">
        <v>200861</v>
      </c>
      <c r="C22" s="208" t="s">
        <v>1437</v>
      </c>
      <c r="D22" s="199" t="s">
        <v>212</v>
      </c>
      <c r="E22" s="89" t="s">
        <v>140</v>
      </c>
      <c r="F22" s="12" t="s">
        <v>140</v>
      </c>
      <c r="G22" s="12" t="s">
        <v>141</v>
      </c>
      <c r="H22" s="89" t="s">
        <v>141</v>
      </c>
      <c r="I22" s="12" t="s">
        <v>12</v>
      </c>
      <c r="J22" s="12" t="s">
        <v>0</v>
      </c>
      <c r="K22" s="12" t="s">
        <v>38</v>
      </c>
      <c r="L22" s="12"/>
      <c r="M22" s="12" t="s">
        <v>361</v>
      </c>
      <c r="N22" s="12" t="s">
        <v>146</v>
      </c>
      <c r="O22" s="89" t="s">
        <v>175</v>
      </c>
      <c r="Q22" s="89" t="s">
        <v>145</v>
      </c>
      <c r="R22" s="89" t="s">
        <v>142</v>
      </c>
      <c r="S22" s="89" t="s">
        <v>143</v>
      </c>
      <c r="T22" s="89" t="s">
        <v>142</v>
      </c>
      <c r="U22" s="89" t="s">
        <v>380</v>
      </c>
      <c r="AG22" s="89" t="s">
        <v>176</v>
      </c>
      <c r="AH22" s="114" t="s">
        <v>177</v>
      </c>
      <c r="AK22" s="84" t="s">
        <v>1256</v>
      </c>
      <c r="AL22" s="113" t="s">
        <v>418</v>
      </c>
      <c r="AM22" s="89" t="s">
        <v>144</v>
      </c>
      <c r="AN22" s="89" t="s">
        <v>144</v>
      </c>
      <c r="AO22" s="12" t="s">
        <v>141</v>
      </c>
      <c r="AP22" s="89" t="s">
        <v>141</v>
      </c>
      <c r="AQ22" s="12" t="s">
        <v>0</v>
      </c>
      <c r="AR22" s="89" t="s">
        <v>38</v>
      </c>
      <c r="AS22" s="12" t="s">
        <v>142</v>
      </c>
      <c r="AT22" s="89" t="s">
        <v>145</v>
      </c>
      <c r="AU22" s="12" t="s">
        <v>362</v>
      </c>
      <c r="AV22" s="12" t="s">
        <v>142</v>
      </c>
      <c r="AY22" s="32">
        <v>107.5</v>
      </c>
      <c r="BA22" s="4"/>
    </row>
    <row r="23" spans="1:53" s="89" customFormat="1" ht="12" customHeight="1" x14ac:dyDescent="0.15">
      <c r="A23" s="89" t="s">
        <v>58</v>
      </c>
      <c r="B23" s="111">
        <v>200870</v>
      </c>
      <c r="C23" s="208" t="s">
        <v>1438</v>
      </c>
      <c r="D23" s="199" t="s">
        <v>213</v>
      </c>
      <c r="E23" s="89" t="s">
        <v>140</v>
      </c>
      <c r="F23" s="12" t="s">
        <v>140</v>
      </c>
      <c r="G23" s="12" t="s">
        <v>141</v>
      </c>
      <c r="H23" s="89" t="s">
        <v>141</v>
      </c>
      <c r="I23" s="12" t="s">
        <v>12</v>
      </c>
      <c r="J23" s="12" t="s">
        <v>0</v>
      </c>
      <c r="K23" s="12" t="s">
        <v>38</v>
      </c>
      <c r="L23" s="12"/>
      <c r="M23" s="12" t="s">
        <v>361</v>
      </c>
      <c r="N23" s="12" t="s">
        <v>146</v>
      </c>
      <c r="O23" s="89" t="s">
        <v>175</v>
      </c>
      <c r="Q23" s="89" t="s">
        <v>145</v>
      </c>
      <c r="R23" s="89" t="s">
        <v>142</v>
      </c>
      <c r="S23" s="89" t="s">
        <v>143</v>
      </c>
      <c r="T23" s="89" t="s">
        <v>142</v>
      </c>
      <c r="U23" s="89" t="s">
        <v>380</v>
      </c>
      <c r="AG23" s="89" t="s">
        <v>176</v>
      </c>
      <c r="AH23" s="114" t="s">
        <v>177</v>
      </c>
      <c r="AK23" s="84" t="s">
        <v>1257</v>
      </c>
      <c r="AL23" s="113" t="s">
        <v>427</v>
      </c>
      <c r="AM23" s="89" t="s">
        <v>144</v>
      </c>
      <c r="AN23" s="89" t="s">
        <v>144</v>
      </c>
      <c r="AO23" s="12" t="s">
        <v>141</v>
      </c>
      <c r="AP23" s="89" t="s">
        <v>141</v>
      </c>
      <c r="AQ23" s="12" t="s">
        <v>0</v>
      </c>
      <c r="AR23" s="89" t="s">
        <v>38</v>
      </c>
      <c r="AS23" s="12" t="s">
        <v>142</v>
      </c>
      <c r="AT23" s="89" t="s">
        <v>145</v>
      </c>
      <c r="AU23" s="12" t="s">
        <v>362</v>
      </c>
      <c r="AV23" s="12" t="s">
        <v>142</v>
      </c>
      <c r="AY23" s="32">
        <v>107.5</v>
      </c>
      <c r="BA23" s="4"/>
    </row>
    <row r="24" spans="1:53" s="89" customFormat="1" ht="12" customHeight="1" x14ac:dyDescent="0.15">
      <c r="A24" s="89" t="s">
        <v>59</v>
      </c>
      <c r="B24" s="111">
        <v>200867</v>
      </c>
      <c r="C24" s="208" t="s">
        <v>1439</v>
      </c>
      <c r="D24" s="199" t="s">
        <v>383</v>
      </c>
      <c r="E24" s="89" t="s">
        <v>140</v>
      </c>
      <c r="F24" s="12" t="s">
        <v>140</v>
      </c>
      <c r="G24" s="12" t="s">
        <v>141</v>
      </c>
      <c r="H24" s="89" t="s">
        <v>141</v>
      </c>
      <c r="I24" s="12" t="s">
        <v>12</v>
      </c>
      <c r="J24" s="12" t="s">
        <v>0</v>
      </c>
      <c r="K24" s="12" t="s">
        <v>38</v>
      </c>
      <c r="L24" s="12"/>
      <c r="M24" s="12" t="s">
        <v>361</v>
      </c>
      <c r="N24" s="12" t="s">
        <v>146</v>
      </c>
      <c r="O24" s="89" t="s">
        <v>175</v>
      </c>
      <c r="Q24" s="89" t="s">
        <v>145</v>
      </c>
      <c r="R24" s="89" t="s">
        <v>142</v>
      </c>
      <c r="S24" s="89" t="s">
        <v>143</v>
      </c>
      <c r="T24" s="89" t="s">
        <v>142</v>
      </c>
      <c r="U24" s="89" t="s">
        <v>380</v>
      </c>
      <c r="AG24" s="89" t="s">
        <v>176</v>
      </c>
      <c r="AH24" s="114" t="s">
        <v>177</v>
      </c>
      <c r="AK24" s="84" t="s">
        <v>1258</v>
      </c>
      <c r="AL24" s="113" t="s">
        <v>291</v>
      </c>
      <c r="AM24" s="89" t="s">
        <v>144</v>
      </c>
      <c r="AN24" s="89" t="s">
        <v>144</v>
      </c>
      <c r="AO24" s="12" t="s">
        <v>141</v>
      </c>
      <c r="AP24" s="89" t="s">
        <v>141</v>
      </c>
      <c r="AQ24" s="12" t="s">
        <v>0</v>
      </c>
      <c r="AR24" s="89" t="s">
        <v>38</v>
      </c>
      <c r="AS24" s="12" t="s">
        <v>142</v>
      </c>
      <c r="AT24" s="89" t="s">
        <v>145</v>
      </c>
      <c r="AU24" s="12" t="s">
        <v>362</v>
      </c>
      <c r="AV24" s="12" t="s">
        <v>142</v>
      </c>
      <c r="AY24" s="32">
        <v>107.5</v>
      </c>
      <c r="BA24" s="4"/>
    </row>
    <row r="25" spans="1:53" s="89" customFormat="1" ht="12" customHeight="1" x14ac:dyDescent="0.15">
      <c r="A25" s="89" t="s">
        <v>60</v>
      </c>
      <c r="B25" s="111">
        <v>200871</v>
      </c>
      <c r="C25" s="208" t="s">
        <v>1440</v>
      </c>
      <c r="D25" s="199" t="s">
        <v>398</v>
      </c>
      <c r="E25" s="89" t="s">
        <v>140</v>
      </c>
      <c r="F25" s="12" t="s">
        <v>140</v>
      </c>
      <c r="G25" s="12" t="s">
        <v>141</v>
      </c>
      <c r="H25" s="89" t="s">
        <v>141</v>
      </c>
      <c r="I25" s="12" t="s">
        <v>12</v>
      </c>
      <c r="J25" s="12" t="s">
        <v>0</v>
      </c>
      <c r="K25" s="12" t="s">
        <v>38</v>
      </c>
      <c r="L25" s="12"/>
      <c r="M25" s="12" t="s">
        <v>361</v>
      </c>
      <c r="N25" s="12" t="s">
        <v>146</v>
      </c>
      <c r="O25" s="89" t="s">
        <v>175</v>
      </c>
      <c r="Q25" s="89" t="s">
        <v>145</v>
      </c>
      <c r="R25" s="89" t="s">
        <v>142</v>
      </c>
      <c r="S25" s="89" t="s">
        <v>143</v>
      </c>
      <c r="T25" s="89" t="s">
        <v>142</v>
      </c>
      <c r="U25" s="89" t="s">
        <v>380</v>
      </c>
      <c r="AG25" s="89" t="s">
        <v>176</v>
      </c>
      <c r="AH25" s="114" t="s">
        <v>177</v>
      </c>
      <c r="AK25" s="84" t="s">
        <v>1259</v>
      </c>
      <c r="AL25" s="113" t="s">
        <v>292</v>
      </c>
      <c r="AM25" s="89" t="s">
        <v>144</v>
      </c>
      <c r="AN25" s="89" t="s">
        <v>144</v>
      </c>
      <c r="AO25" s="12" t="s">
        <v>141</v>
      </c>
      <c r="AP25" s="89" t="s">
        <v>141</v>
      </c>
      <c r="AQ25" s="12" t="s">
        <v>0</v>
      </c>
      <c r="AR25" s="89" t="s">
        <v>38</v>
      </c>
      <c r="AS25" s="12" t="s">
        <v>142</v>
      </c>
      <c r="AT25" s="89" t="s">
        <v>145</v>
      </c>
      <c r="AU25" s="12" t="s">
        <v>362</v>
      </c>
      <c r="AV25" s="12" t="s">
        <v>142</v>
      </c>
      <c r="AY25" s="32">
        <v>107.5</v>
      </c>
      <c r="BA25" s="4"/>
    </row>
    <row r="26" spans="1:53" s="89" customFormat="1" ht="12" customHeight="1" x14ac:dyDescent="0.15">
      <c r="A26" s="89" t="s">
        <v>61</v>
      </c>
      <c r="B26" s="111">
        <v>200880</v>
      </c>
      <c r="C26" s="208" t="s">
        <v>1441</v>
      </c>
      <c r="D26" s="199" t="s">
        <v>214</v>
      </c>
      <c r="E26" s="89" t="s">
        <v>140</v>
      </c>
      <c r="F26" s="12" t="s">
        <v>140</v>
      </c>
      <c r="G26" s="12" t="s">
        <v>141</v>
      </c>
      <c r="H26" s="89" t="s">
        <v>141</v>
      </c>
      <c r="I26" s="12" t="s">
        <v>12</v>
      </c>
      <c r="J26" s="12" t="s">
        <v>0</v>
      </c>
      <c r="K26" s="12" t="s">
        <v>38</v>
      </c>
      <c r="L26" s="12"/>
      <c r="M26" s="12" t="s">
        <v>361</v>
      </c>
      <c r="N26" s="12" t="s">
        <v>146</v>
      </c>
      <c r="O26" s="89" t="s">
        <v>175</v>
      </c>
      <c r="Q26" s="89" t="s">
        <v>145</v>
      </c>
      <c r="R26" s="89" t="s">
        <v>142</v>
      </c>
      <c r="S26" s="89" t="s">
        <v>143</v>
      </c>
      <c r="T26" s="89" t="s">
        <v>142</v>
      </c>
      <c r="U26" s="89" t="s">
        <v>380</v>
      </c>
      <c r="AG26" s="89" t="s">
        <v>176</v>
      </c>
      <c r="AH26" s="114" t="s">
        <v>177</v>
      </c>
      <c r="AK26" s="84" t="s">
        <v>1260</v>
      </c>
      <c r="AL26" s="113" t="s">
        <v>293</v>
      </c>
      <c r="AM26" s="89" t="s">
        <v>144</v>
      </c>
      <c r="AN26" s="89" t="s">
        <v>144</v>
      </c>
      <c r="AO26" s="12" t="s">
        <v>141</v>
      </c>
      <c r="AP26" s="89" t="s">
        <v>141</v>
      </c>
      <c r="AQ26" s="12" t="s">
        <v>0</v>
      </c>
      <c r="AR26" s="89" t="s">
        <v>38</v>
      </c>
      <c r="AS26" s="12" t="s">
        <v>142</v>
      </c>
      <c r="AT26" s="89" t="s">
        <v>145</v>
      </c>
      <c r="AU26" s="12" t="s">
        <v>362</v>
      </c>
      <c r="AV26" s="12" t="s">
        <v>142</v>
      </c>
      <c r="AY26" s="32">
        <v>107.5</v>
      </c>
      <c r="BA26" s="4"/>
    </row>
    <row r="27" spans="1:53" s="89" customFormat="1" ht="12" customHeight="1" x14ac:dyDescent="0.15">
      <c r="A27" s="89" t="s">
        <v>62</v>
      </c>
      <c r="B27" s="111">
        <v>200881</v>
      </c>
      <c r="C27" s="208" t="s">
        <v>1442</v>
      </c>
      <c r="D27" s="199" t="s">
        <v>215</v>
      </c>
      <c r="E27" s="89" t="s">
        <v>140</v>
      </c>
      <c r="F27" s="12" t="s">
        <v>140</v>
      </c>
      <c r="G27" s="12" t="s">
        <v>141</v>
      </c>
      <c r="H27" s="89" t="s">
        <v>141</v>
      </c>
      <c r="I27" s="12" t="s">
        <v>12</v>
      </c>
      <c r="J27" s="12" t="s">
        <v>0</v>
      </c>
      <c r="K27" s="12" t="s">
        <v>38</v>
      </c>
      <c r="L27" s="12"/>
      <c r="M27" s="12" t="s">
        <v>361</v>
      </c>
      <c r="N27" s="12" t="s">
        <v>146</v>
      </c>
      <c r="O27" s="89" t="s">
        <v>175</v>
      </c>
      <c r="Q27" s="89" t="s">
        <v>145</v>
      </c>
      <c r="R27" s="89" t="s">
        <v>142</v>
      </c>
      <c r="S27" s="89" t="s">
        <v>143</v>
      </c>
      <c r="T27" s="89" t="s">
        <v>142</v>
      </c>
      <c r="U27" s="89" t="s">
        <v>380</v>
      </c>
      <c r="AG27" s="89" t="s">
        <v>176</v>
      </c>
      <c r="AH27" s="114" t="s">
        <v>177</v>
      </c>
      <c r="AK27" s="84" t="s">
        <v>1261</v>
      </c>
      <c r="AL27" s="113" t="s">
        <v>400</v>
      </c>
      <c r="AM27" s="89" t="s">
        <v>144</v>
      </c>
      <c r="AN27" s="89" t="s">
        <v>144</v>
      </c>
      <c r="AO27" s="12" t="s">
        <v>141</v>
      </c>
      <c r="AP27" s="89" t="s">
        <v>141</v>
      </c>
      <c r="AQ27" s="12" t="s">
        <v>0</v>
      </c>
      <c r="AR27" s="89" t="s">
        <v>38</v>
      </c>
      <c r="AS27" s="12" t="s">
        <v>142</v>
      </c>
      <c r="AT27" s="89" t="s">
        <v>145</v>
      </c>
      <c r="AU27" s="12" t="s">
        <v>362</v>
      </c>
      <c r="AV27" s="12" t="s">
        <v>142</v>
      </c>
      <c r="AY27" s="32">
        <v>107.5</v>
      </c>
      <c r="BA27" s="4"/>
    </row>
    <row r="28" spans="1:53" s="89" customFormat="1" ht="12" customHeight="1" x14ac:dyDescent="0.15">
      <c r="A28" s="89" t="s">
        <v>63</v>
      </c>
      <c r="B28" s="111">
        <v>200882</v>
      </c>
      <c r="C28" s="208" t="s">
        <v>1443</v>
      </c>
      <c r="D28" s="199" t="s">
        <v>216</v>
      </c>
      <c r="E28" s="89" t="s">
        <v>140</v>
      </c>
      <c r="F28" s="12" t="s">
        <v>140</v>
      </c>
      <c r="G28" s="12" t="s">
        <v>141</v>
      </c>
      <c r="H28" s="89" t="s">
        <v>141</v>
      </c>
      <c r="I28" s="12" t="s">
        <v>12</v>
      </c>
      <c r="J28" s="12" t="s">
        <v>0</v>
      </c>
      <c r="K28" s="12" t="s">
        <v>38</v>
      </c>
      <c r="L28" s="12"/>
      <c r="M28" s="12" t="s">
        <v>361</v>
      </c>
      <c r="N28" s="12" t="s">
        <v>146</v>
      </c>
      <c r="O28" s="89" t="s">
        <v>175</v>
      </c>
      <c r="Q28" s="89" t="s">
        <v>145</v>
      </c>
      <c r="R28" s="89" t="s">
        <v>142</v>
      </c>
      <c r="S28" s="89" t="s">
        <v>143</v>
      </c>
      <c r="T28" s="89" t="s">
        <v>142</v>
      </c>
      <c r="U28" s="89" t="s">
        <v>380</v>
      </c>
      <c r="AG28" s="89" t="s">
        <v>176</v>
      </c>
      <c r="AH28" s="114" t="s">
        <v>177</v>
      </c>
      <c r="AK28" s="84" t="s">
        <v>1262</v>
      </c>
      <c r="AL28" s="113" t="s">
        <v>294</v>
      </c>
      <c r="AM28" s="89" t="s">
        <v>144</v>
      </c>
      <c r="AN28" s="89" t="s">
        <v>144</v>
      </c>
      <c r="AO28" s="12" t="s">
        <v>141</v>
      </c>
      <c r="AP28" s="89" t="s">
        <v>141</v>
      </c>
      <c r="AQ28" s="12" t="s">
        <v>0</v>
      </c>
      <c r="AR28" s="89" t="s">
        <v>38</v>
      </c>
      <c r="AS28" s="12" t="s">
        <v>142</v>
      </c>
      <c r="AT28" s="89" t="s">
        <v>145</v>
      </c>
      <c r="AU28" s="12" t="s">
        <v>362</v>
      </c>
      <c r="AV28" s="12" t="s">
        <v>142</v>
      </c>
      <c r="AY28" s="32">
        <v>107.5</v>
      </c>
      <c r="BA28" s="4"/>
    </row>
    <row r="29" spans="1:53" s="89" customFormat="1" ht="12" customHeight="1" x14ac:dyDescent="0.15">
      <c r="A29" s="89" t="s">
        <v>64</v>
      </c>
      <c r="B29" s="111">
        <v>200865</v>
      </c>
      <c r="C29" s="208" t="s">
        <v>1444</v>
      </c>
      <c r="D29" s="199" t="s">
        <v>217</v>
      </c>
      <c r="E29" s="89" t="s">
        <v>140</v>
      </c>
      <c r="F29" s="12" t="s">
        <v>140</v>
      </c>
      <c r="G29" s="12" t="s">
        <v>141</v>
      </c>
      <c r="H29" s="89" t="s">
        <v>141</v>
      </c>
      <c r="I29" s="12" t="s">
        <v>12</v>
      </c>
      <c r="J29" s="12" t="s">
        <v>0</v>
      </c>
      <c r="K29" s="12" t="s">
        <v>38</v>
      </c>
      <c r="L29" s="12"/>
      <c r="M29" s="12" t="s">
        <v>361</v>
      </c>
      <c r="N29" s="12" t="s">
        <v>146</v>
      </c>
      <c r="O29" s="89" t="s">
        <v>175</v>
      </c>
      <c r="Q29" s="89" t="s">
        <v>145</v>
      </c>
      <c r="R29" s="89" t="s">
        <v>142</v>
      </c>
      <c r="S29" s="89" t="s">
        <v>143</v>
      </c>
      <c r="T29" s="89" t="s">
        <v>142</v>
      </c>
      <c r="U29" s="89" t="s">
        <v>380</v>
      </c>
      <c r="AG29" s="89" t="s">
        <v>176</v>
      </c>
      <c r="AH29" s="114" t="s">
        <v>177</v>
      </c>
      <c r="AK29" s="84" t="s">
        <v>1263</v>
      </c>
      <c r="AL29" s="113" t="s">
        <v>295</v>
      </c>
      <c r="AM29" s="89" t="s">
        <v>144</v>
      </c>
      <c r="AN29" s="89" t="s">
        <v>144</v>
      </c>
      <c r="AO29" s="12" t="s">
        <v>141</v>
      </c>
      <c r="AP29" s="89" t="s">
        <v>141</v>
      </c>
      <c r="AQ29" s="12" t="s">
        <v>0</v>
      </c>
      <c r="AR29" s="89" t="s">
        <v>38</v>
      </c>
      <c r="AS29" s="12" t="s">
        <v>142</v>
      </c>
      <c r="AT29" s="89" t="s">
        <v>145</v>
      </c>
      <c r="AU29" s="12" t="s">
        <v>362</v>
      </c>
      <c r="AV29" s="12" t="s">
        <v>142</v>
      </c>
      <c r="AY29" s="32">
        <v>107.5</v>
      </c>
      <c r="BA29" s="4"/>
    </row>
    <row r="30" spans="1:53" s="89" customFormat="1" ht="12" customHeight="1" x14ac:dyDescent="0.15">
      <c r="A30" s="89" t="s">
        <v>65</v>
      </c>
      <c r="B30" s="111">
        <v>200883</v>
      </c>
      <c r="C30" s="208" t="s">
        <v>1445</v>
      </c>
      <c r="D30" s="199" t="s">
        <v>359</v>
      </c>
      <c r="E30" s="89" t="s">
        <v>140</v>
      </c>
      <c r="F30" s="12" t="s">
        <v>140</v>
      </c>
      <c r="G30" s="12" t="s">
        <v>141</v>
      </c>
      <c r="H30" s="89" t="s">
        <v>141</v>
      </c>
      <c r="I30" s="12" t="s">
        <v>12</v>
      </c>
      <c r="J30" s="12" t="s">
        <v>0</v>
      </c>
      <c r="K30" s="12" t="s">
        <v>38</v>
      </c>
      <c r="L30" s="12"/>
      <c r="M30" s="12" t="s">
        <v>361</v>
      </c>
      <c r="N30" s="12" t="s">
        <v>146</v>
      </c>
      <c r="O30" s="89" t="s">
        <v>175</v>
      </c>
      <c r="Q30" s="89" t="s">
        <v>145</v>
      </c>
      <c r="R30" s="89" t="s">
        <v>142</v>
      </c>
      <c r="S30" s="89" t="s">
        <v>143</v>
      </c>
      <c r="T30" s="89" t="s">
        <v>142</v>
      </c>
      <c r="U30" s="89" t="s">
        <v>380</v>
      </c>
      <c r="AG30" s="89" t="s">
        <v>176</v>
      </c>
      <c r="AH30" s="114" t="s">
        <v>177</v>
      </c>
      <c r="AK30" s="84" t="s">
        <v>1264</v>
      </c>
      <c r="AL30" s="113" t="s">
        <v>296</v>
      </c>
      <c r="AM30" s="89" t="s">
        <v>144</v>
      </c>
      <c r="AN30" s="89" t="s">
        <v>144</v>
      </c>
      <c r="AO30" s="12" t="s">
        <v>141</v>
      </c>
      <c r="AP30" s="89" t="s">
        <v>141</v>
      </c>
      <c r="AQ30" s="12" t="s">
        <v>0</v>
      </c>
      <c r="AR30" s="89" t="s">
        <v>38</v>
      </c>
      <c r="AS30" s="12" t="s">
        <v>142</v>
      </c>
      <c r="AT30" s="89" t="s">
        <v>145</v>
      </c>
      <c r="AU30" s="12" t="s">
        <v>362</v>
      </c>
      <c r="AV30" s="12" t="s">
        <v>142</v>
      </c>
      <c r="AY30" s="32">
        <v>107.5</v>
      </c>
      <c r="BA30" s="4"/>
    </row>
    <row r="31" spans="1:53" s="89" customFormat="1" ht="12" customHeight="1" x14ac:dyDescent="0.15">
      <c r="A31" s="89" t="s">
        <v>66</v>
      </c>
      <c r="B31" s="111">
        <v>200884</v>
      </c>
      <c r="C31" s="208" t="s">
        <v>1446</v>
      </c>
      <c r="D31" s="199" t="s">
        <v>218</v>
      </c>
      <c r="E31" s="89" t="s">
        <v>140</v>
      </c>
      <c r="F31" s="12" t="s">
        <v>140</v>
      </c>
      <c r="G31" s="12" t="s">
        <v>141</v>
      </c>
      <c r="H31" s="89" t="s">
        <v>141</v>
      </c>
      <c r="I31" s="12" t="s">
        <v>12</v>
      </c>
      <c r="J31" s="12" t="s">
        <v>0</v>
      </c>
      <c r="K31" s="12" t="s">
        <v>38</v>
      </c>
      <c r="L31" s="12"/>
      <c r="M31" s="12" t="s">
        <v>361</v>
      </c>
      <c r="N31" s="12" t="s">
        <v>146</v>
      </c>
      <c r="O31" s="89" t="s">
        <v>175</v>
      </c>
      <c r="Q31" s="89" t="s">
        <v>145</v>
      </c>
      <c r="R31" s="89" t="s">
        <v>142</v>
      </c>
      <c r="S31" s="89" t="s">
        <v>143</v>
      </c>
      <c r="T31" s="89" t="s">
        <v>142</v>
      </c>
      <c r="U31" s="89" t="s">
        <v>380</v>
      </c>
      <c r="AG31" s="89" t="s">
        <v>176</v>
      </c>
      <c r="AH31" s="114" t="s">
        <v>177</v>
      </c>
      <c r="AK31" s="84" t="s">
        <v>1265</v>
      </c>
      <c r="AL31" s="113" t="s">
        <v>297</v>
      </c>
      <c r="AM31" s="89" t="s">
        <v>144</v>
      </c>
      <c r="AN31" s="89" t="s">
        <v>144</v>
      </c>
      <c r="AO31" s="12" t="s">
        <v>141</v>
      </c>
      <c r="AP31" s="89" t="s">
        <v>141</v>
      </c>
      <c r="AQ31" s="12" t="s">
        <v>0</v>
      </c>
      <c r="AR31" s="89" t="s">
        <v>38</v>
      </c>
      <c r="AS31" s="12" t="s">
        <v>142</v>
      </c>
      <c r="AT31" s="89" t="s">
        <v>145</v>
      </c>
      <c r="AU31" s="12" t="s">
        <v>362</v>
      </c>
      <c r="AV31" s="12" t="s">
        <v>142</v>
      </c>
      <c r="AY31" s="32">
        <v>107.5</v>
      </c>
      <c r="BA31" s="4"/>
    </row>
    <row r="32" spans="1:53" s="89" customFormat="1" ht="12" customHeight="1" x14ac:dyDescent="0.15">
      <c r="A32" s="89" t="s">
        <v>67</v>
      </c>
      <c r="B32" s="111">
        <v>200937</v>
      </c>
      <c r="C32" s="208" t="s">
        <v>1447</v>
      </c>
      <c r="D32" s="199" t="s">
        <v>219</v>
      </c>
      <c r="E32" s="89" t="s">
        <v>140</v>
      </c>
      <c r="F32" s="12" t="s">
        <v>140</v>
      </c>
      <c r="G32" s="12" t="s">
        <v>141</v>
      </c>
      <c r="H32" s="89" t="s">
        <v>141</v>
      </c>
      <c r="I32" s="12" t="s">
        <v>12</v>
      </c>
      <c r="J32" s="12" t="s">
        <v>0</v>
      </c>
      <c r="K32" s="12" t="s">
        <v>38</v>
      </c>
      <c r="L32" s="12"/>
      <c r="M32" s="12" t="s">
        <v>361</v>
      </c>
      <c r="N32" s="12" t="s">
        <v>146</v>
      </c>
      <c r="O32" s="89" t="s">
        <v>175</v>
      </c>
      <c r="Q32" s="89" t="s">
        <v>145</v>
      </c>
      <c r="R32" s="89" t="s">
        <v>142</v>
      </c>
      <c r="S32" s="89" t="s">
        <v>143</v>
      </c>
      <c r="T32" s="89" t="s">
        <v>142</v>
      </c>
      <c r="U32" s="89" t="s">
        <v>380</v>
      </c>
      <c r="AG32" s="89" t="s">
        <v>176</v>
      </c>
      <c r="AH32" s="114" t="s">
        <v>177</v>
      </c>
      <c r="AK32" s="84" t="s">
        <v>1266</v>
      </c>
      <c r="AL32" s="113" t="s">
        <v>367</v>
      </c>
      <c r="AM32" s="89" t="s">
        <v>144</v>
      </c>
      <c r="AN32" s="89" t="s">
        <v>144</v>
      </c>
      <c r="AO32" s="12" t="s">
        <v>141</v>
      </c>
      <c r="AP32" s="89" t="s">
        <v>141</v>
      </c>
      <c r="AQ32" s="12" t="s">
        <v>0</v>
      </c>
      <c r="AR32" s="89" t="s">
        <v>38</v>
      </c>
      <c r="AS32" s="12" t="s">
        <v>142</v>
      </c>
      <c r="AT32" s="89" t="s">
        <v>145</v>
      </c>
      <c r="AU32" s="12" t="s">
        <v>362</v>
      </c>
      <c r="AV32" s="12" t="s">
        <v>142</v>
      </c>
      <c r="AY32" s="32">
        <v>107.5</v>
      </c>
      <c r="BA32" s="4"/>
    </row>
    <row r="33" spans="1:53" s="89" customFormat="1" ht="12" customHeight="1" x14ac:dyDescent="0.15">
      <c r="A33" s="89" t="s">
        <v>68</v>
      </c>
      <c r="B33" s="111">
        <v>200885</v>
      </c>
      <c r="C33" s="209" t="s">
        <v>1448</v>
      </c>
      <c r="D33" s="199" t="s">
        <v>220</v>
      </c>
      <c r="E33" s="89" t="s">
        <v>140</v>
      </c>
      <c r="F33" s="12" t="s">
        <v>140</v>
      </c>
      <c r="G33" s="12" t="s">
        <v>141</v>
      </c>
      <c r="H33" s="89" t="s">
        <v>141</v>
      </c>
      <c r="I33" s="12" t="s">
        <v>12</v>
      </c>
      <c r="J33" s="12" t="s">
        <v>0</v>
      </c>
      <c r="K33" s="12" t="s">
        <v>38</v>
      </c>
      <c r="L33" s="12"/>
      <c r="M33" s="12" t="s">
        <v>361</v>
      </c>
      <c r="N33" s="12" t="s">
        <v>146</v>
      </c>
      <c r="O33" s="89" t="s">
        <v>175</v>
      </c>
      <c r="Q33" s="89" t="s">
        <v>145</v>
      </c>
      <c r="R33" s="89" t="s">
        <v>142</v>
      </c>
      <c r="S33" s="89" t="s">
        <v>143</v>
      </c>
      <c r="T33" s="89" t="s">
        <v>142</v>
      </c>
      <c r="U33" s="89" t="s">
        <v>380</v>
      </c>
      <c r="AG33" s="89" t="s">
        <v>176</v>
      </c>
      <c r="AH33" s="114" t="s">
        <v>177</v>
      </c>
      <c r="AK33" s="84" t="s">
        <v>1267</v>
      </c>
      <c r="AL33" s="113" t="s">
        <v>419</v>
      </c>
      <c r="AM33" s="89" t="s">
        <v>144</v>
      </c>
      <c r="AN33" s="89" t="s">
        <v>144</v>
      </c>
      <c r="AO33" s="12" t="s">
        <v>141</v>
      </c>
      <c r="AP33" s="89" t="s">
        <v>141</v>
      </c>
      <c r="AQ33" s="12" t="s">
        <v>0</v>
      </c>
      <c r="AR33" s="89" t="s">
        <v>38</v>
      </c>
      <c r="AS33" s="12" t="s">
        <v>142</v>
      </c>
      <c r="AT33" s="89" t="s">
        <v>145</v>
      </c>
      <c r="AU33" s="12" t="s">
        <v>362</v>
      </c>
      <c r="AV33" s="12" t="s">
        <v>142</v>
      </c>
      <c r="AY33" s="32">
        <v>107.5</v>
      </c>
      <c r="BA33" s="4"/>
    </row>
    <row r="34" spans="1:53" s="89" customFormat="1" ht="12" customHeight="1" x14ac:dyDescent="0.15">
      <c r="A34" s="89" t="s">
        <v>69</v>
      </c>
      <c r="B34" s="111">
        <v>200968</v>
      </c>
      <c r="C34" s="208" t="s">
        <v>1449</v>
      </c>
      <c r="D34" s="199" t="s">
        <v>221</v>
      </c>
      <c r="E34" s="89" t="s">
        <v>140</v>
      </c>
      <c r="F34" s="12" t="s">
        <v>140</v>
      </c>
      <c r="G34" s="12" t="s">
        <v>141</v>
      </c>
      <c r="H34" s="89" t="s">
        <v>141</v>
      </c>
      <c r="I34" s="12" t="s">
        <v>12</v>
      </c>
      <c r="J34" s="12" t="s">
        <v>0</v>
      </c>
      <c r="K34" s="12" t="s">
        <v>38</v>
      </c>
      <c r="L34" s="12"/>
      <c r="M34" s="12" t="s">
        <v>361</v>
      </c>
      <c r="N34" s="12" t="s">
        <v>180</v>
      </c>
      <c r="O34" s="89" t="s">
        <v>175</v>
      </c>
      <c r="Q34" s="89" t="s">
        <v>145</v>
      </c>
      <c r="R34" s="89" t="s">
        <v>142</v>
      </c>
      <c r="S34" s="89" t="s">
        <v>143</v>
      </c>
      <c r="T34" s="89" t="s">
        <v>142</v>
      </c>
      <c r="U34" s="89" t="s">
        <v>380</v>
      </c>
      <c r="AG34" s="89" t="s">
        <v>176</v>
      </c>
      <c r="AH34" s="114" t="s">
        <v>177</v>
      </c>
      <c r="AK34" s="84" t="s">
        <v>1268</v>
      </c>
      <c r="AL34" s="117" t="s">
        <v>298</v>
      </c>
      <c r="AM34" s="89" t="s">
        <v>144</v>
      </c>
      <c r="AN34" s="89" t="s">
        <v>144</v>
      </c>
      <c r="AO34" s="12" t="s">
        <v>141</v>
      </c>
      <c r="AP34" s="89" t="s">
        <v>141</v>
      </c>
      <c r="AQ34" s="12" t="s">
        <v>0</v>
      </c>
      <c r="AR34" s="89" t="s">
        <v>38</v>
      </c>
      <c r="AS34" s="12" t="s">
        <v>142</v>
      </c>
      <c r="AT34" s="89" t="s">
        <v>145</v>
      </c>
      <c r="AU34" s="12" t="s">
        <v>362</v>
      </c>
      <c r="AV34" s="12" t="s">
        <v>142</v>
      </c>
      <c r="AY34" s="32">
        <v>107.5</v>
      </c>
      <c r="BA34" s="4"/>
    </row>
    <row r="35" spans="1:53" s="89" customFormat="1" ht="12" customHeight="1" x14ac:dyDescent="0.15">
      <c r="A35" s="89" t="s">
        <v>70</v>
      </c>
      <c r="B35" s="111">
        <v>200896</v>
      </c>
      <c r="C35" s="209" t="s">
        <v>1450</v>
      </c>
      <c r="D35" s="199" t="s">
        <v>222</v>
      </c>
      <c r="E35" s="89" t="s">
        <v>140</v>
      </c>
      <c r="F35" s="12" t="s">
        <v>140</v>
      </c>
      <c r="G35" s="12" t="s">
        <v>141</v>
      </c>
      <c r="H35" s="89" t="s">
        <v>141</v>
      </c>
      <c r="I35" s="12" t="s">
        <v>12</v>
      </c>
      <c r="J35" s="12" t="s">
        <v>0</v>
      </c>
      <c r="K35" s="12" t="s">
        <v>38</v>
      </c>
      <c r="L35" s="12"/>
      <c r="M35" s="12" t="s">
        <v>361</v>
      </c>
      <c r="N35" s="12" t="s">
        <v>146</v>
      </c>
      <c r="O35" s="89" t="s">
        <v>175</v>
      </c>
      <c r="Q35" s="89" t="s">
        <v>145</v>
      </c>
      <c r="R35" s="89" t="s">
        <v>142</v>
      </c>
      <c r="S35" s="89" t="s">
        <v>143</v>
      </c>
      <c r="T35" s="89" t="s">
        <v>142</v>
      </c>
      <c r="U35" s="89" t="s">
        <v>380</v>
      </c>
      <c r="AG35" s="89" t="s">
        <v>176</v>
      </c>
      <c r="AH35" s="114" t="s">
        <v>177</v>
      </c>
      <c r="AK35" s="177" t="s">
        <v>1269</v>
      </c>
      <c r="AL35" s="113" t="s">
        <v>413</v>
      </c>
      <c r="AM35" s="89" t="s">
        <v>144</v>
      </c>
      <c r="AN35" s="89" t="s">
        <v>144</v>
      </c>
      <c r="AO35" s="12" t="s">
        <v>141</v>
      </c>
      <c r="AP35" s="89" t="s">
        <v>141</v>
      </c>
      <c r="AQ35" s="12" t="s">
        <v>0</v>
      </c>
      <c r="AR35" s="89" t="s">
        <v>38</v>
      </c>
      <c r="AS35" s="12" t="s">
        <v>142</v>
      </c>
      <c r="AT35" s="89" t="s">
        <v>145</v>
      </c>
      <c r="AU35" s="12" t="s">
        <v>362</v>
      </c>
      <c r="AV35" s="12" t="s">
        <v>142</v>
      </c>
      <c r="AY35" s="32">
        <v>107.5</v>
      </c>
      <c r="BA35" s="4"/>
    </row>
    <row r="36" spans="1:53" s="89" customFormat="1" ht="12" customHeight="1" x14ac:dyDescent="0.15">
      <c r="A36" s="89" t="s">
        <v>71</v>
      </c>
      <c r="B36" s="111">
        <v>200897</v>
      </c>
      <c r="C36" s="208" t="s">
        <v>1451</v>
      </c>
      <c r="D36" s="199" t="s">
        <v>933</v>
      </c>
      <c r="E36" s="89" t="s">
        <v>140</v>
      </c>
      <c r="F36" s="12" t="s">
        <v>140</v>
      </c>
      <c r="G36" s="12" t="s">
        <v>141</v>
      </c>
      <c r="H36" s="89" t="s">
        <v>141</v>
      </c>
      <c r="I36" s="12" t="s">
        <v>12</v>
      </c>
      <c r="J36" s="12" t="s">
        <v>0</v>
      </c>
      <c r="K36" s="12" t="s">
        <v>38</v>
      </c>
      <c r="L36" s="12"/>
      <c r="M36" s="12" t="s">
        <v>361</v>
      </c>
      <c r="N36" s="12" t="s">
        <v>146</v>
      </c>
      <c r="O36" s="89" t="s">
        <v>175</v>
      </c>
      <c r="Q36" s="89" t="s">
        <v>145</v>
      </c>
      <c r="R36" s="89" t="s">
        <v>142</v>
      </c>
      <c r="S36" s="89" t="s">
        <v>143</v>
      </c>
      <c r="T36" s="89" t="s">
        <v>142</v>
      </c>
      <c r="U36" s="89" t="s">
        <v>380</v>
      </c>
      <c r="AG36" s="89" t="s">
        <v>176</v>
      </c>
      <c r="AH36" s="114" t="s">
        <v>177</v>
      </c>
      <c r="AK36" s="84" t="s">
        <v>1270</v>
      </c>
      <c r="AL36" s="113" t="s">
        <v>299</v>
      </c>
      <c r="AM36" s="89" t="s">
        <v>144</v>
      </c>
      <c r="AN36" s="89" t="s">
        <v>144</v>
      </c>
      <c r="AO36" s="12" t="s">
        <v>141</v>
      </c>
      <c r="AP36" s="89" t="s">
        <v>141</v>
      </c>
      <c r="AQ36" s="12" t="s">
        <v>0</v>
      </c>
      <c r="AR36" s="89" t="s">
        <v>38</v>
      </c>
      <c r="AS36" s="12" t="s">
        <v>142</v>
      </c>
      <c r="AT36" s="89" t="s">
        <v>145</v>
      </c>
      <c r="AU36" s="12" t="s">
        <v>362</v>
      </c>
      <c r="AV36" s="12" t="s">
        <v>142</v>
      </c>
      <c r="AY36" s="32">
        <v>107.5</v>
      </c>
      <c r="BA36" s="4"/>
    </row>
    <row r="37" spans="1:53" s="89" customFormat="1" ht="12" customHeight="1" x14ac:dyDescent="0.15">
      <c r="A37" s="89" t="s">
        <v>72</v>
      </c>
      <c r="B37" s="111">
        <v>200940</v>
      </c>
      <c r="C37" s="208" t="s">
        <v>1452</v>
      </c>
      <c r="D37" s="199" t="s">
        <v>223</v>
      </c>
      <c r="E37" s="89" t="s">
        <v>140</v>
      </c>
      <c r="F37" s="12" t="s">
        <v>140</v>
      </c>
      <c r="G37" s="12" t="s">
        <v>141</v>
      </c>
      <c r="H37" s="89" t="s">
        <v>141</v>
      </c>
      <c r="I37" s="12" t="s">
        <v>12</v>
      </c>
      <c r="J37" s="12" t="s">
        <v>0</v>
      </c>
      <c r="K37" s="12" t="s">
        <v>38</v>
      </c>
      <c r="L37" s="12"/>
      <c r="M37" s="12" t="s">
        <v>361</v>
      </c>
      <c r="N37" s="12" t="s">
        <v>146</v>
      </c>
      <c r="O37" s="89" t="s">
        <v>175</v>
      </c>
      <c r="Q37" s="89" t="s">
        <v>145</v>
      </c>
      <c r="R37" s="89" t="s">
        <v>142</v>
      </c>
      <c r="S37" s="89" t="s">
        <v>143</v>
      </c>
      <c r="T37" s="89" t="s">
        <v>142</v>
      </c>
      <c r="U37" s="89" t="s">
        <v>380</v>
      </c>
      <c r="AG37" s="89" t="s">
        <v>176</v>
      </c>
      <c r="AH37" s="114" t="s">
        <v>177</v>
      </c>
      <c r="AK37" s="84" t="s">
        <v>1271</v>
      </c>
      <c r="AL37" s="113" t="s">
        <v>300</v>
      </c>
      <c r="AM37" s="89" t="s">
        <v>144</v>
      </c>
      <c r="AN37" s="89" t="s">
        <v>144</v>
      </c>
      <c r="AO37" s="12" t="s">
        <v>141</v>
      </c>
      <c r="AP37" s="89" t="s">
        <v>141</v>
      </c>
      <c r="AQ37" s="12" t="s">
        <v>0</v>
      </c>
      <c r="AR37" s="89" t="s">
        <v>38</v>
      </c>
      <c r="AS37" s="12" t="s">
        <v>142</v>
      </c>
      <c r="AT37" s="89" t="s">
        <v>145</v>
      </c>
      <c r="AU37" s="12" t="s">
        <v>362</v>
      </c>
      <c r="AV37" s="12" t="s">
        <v>142</v>
      </c>
      <c r="AY37" s="32">
        <v>107.5</v>
      </c>
      <c r="BA37" s="4"/>
    </row>
    <row r="38" spans="1:53" s="89" customFormat="1" ht="12" customHeight="1" x14ac:dyDescent="0.15">
      <c r="A38" s="89" t="s">
        <v>73</v>
      </c>
      <c r="B38" s="111">
        <v>200983</v>
      </c>
      <c r="C38" s="208" t="s">
        <v>1453</v>
      </c>
      <c r="D38" s="199" t="s">
        <v>224</v>
      </c>
      <c r="E38" s="89" t="s">
        <v>140</v>
      </c>
      <c r="F38" s="12" t="s">
        <v>140</v>
      </c>
      <c r="G38" s="12" t="s">
        <v>141</v>
      </c>
      <c r="H38" s="89" t="s">
        <v>141</v>
      </c>
      <c r="I38" s="12" t="s">
        <v>12</v>
      </c>
      <c r="J38" s="12" t="s">
        <v>0</v>
      </c>
      <c r="K38" s="12" t="s">
        <v>38</v>
      </c>
      <c r="L38" s="12"/>
      <c r="M38" s="12" t="s">
        <v>361</v>
      </c>
      <c r="N38" s="12" t="s">
        <v>146</v>
      </c>
      <c r="O38" s="89" t="s">
        <v>175</v>
      </c>
      <c r="Q38" s="89" t="s">
        <v>145</v>
      </c>
      <c r="R38" s="89" t="s">
        <v>142</v>
      </c>
      <c r="S38" s="89" t="s">
        <v>143</v>
      </c>
      <c r="T38" s="89" t="s">
        <v>142</v>
      </c>
      <c r="U38" s="89" t="s">
        <v>380</v>
      </c>
      <c r="AG38" s="89" t="s">
        <v>176</v>
      </c>
      <c r="AH38" s="114" t="s">
        <v>177</v>
      </c>
      <c r="AK38" s="84" t="s">
        <v>1272</v>
      </c>
      <c r="AL38" s="117" t="s">
        <v>301</v>
      </c>
      <c r="AM38" s="89" t="s">
        <v>144</v>
      </c>
      <c r="AN38" s="89" t="s">
        <v>144</v>
      </c>
      <c r="AO38" s="12" t="s">
        <v>141</v>
      </c>
      <c r="AP38" s="89" t="s">
        <v>141</v>
      </c>
      <c r="AQ38" s="12" t="s">
        <v>0</v>
      </c>
      <c r="AR38" s="89" t="s">
        <v>38</v>
      </c>
      <c r="AS38" s="12" t="s">
        <v>142</v>
      </c>
      <c r="AT38" s="89" t="s">
        <v>145</v>
      </c>
      <c r="AU38" s="12" t="s">
        <v>362</v>
      </c>
      <c r="AV38" s="12" t="s">
        <v>142</v>
      </c>
      <c r="AY38" s="32">
        <v>107.5</v>
      </c>
      <c r="BA38" s="4"/>
    </row>
    <row r="39" spans="1:53" s="89" customFormat="1" ht="12" customHeight="1" x14ac:dyDescent="0.15">
      <c r="A39" s="89" t="s">
        <v>74</v>
      </c>
      <c r="B39" s="111">
        <v>200938</v>
      </c>
      <c r="C39" s="208" t="s">
        <v>1454</v>
      </c>
      <c r="D39" s="199" t="s">
        <v>902</v>
      </c>
      <c r="E39" s="89" t="s">
        <v>140</v>
      </c>
      <c r="F39" s="12" t="s">
        <v>140</v>
      </c>
      <c r="G39" s="12" t="s">
        <v>141</v>
      </c>
      <c r="H39" s="89" t="s">
        <v>141</v>
      </c>
      <c r="I39" s="12" t="s">
        <v>12</v>
      </c>
      <c r="J39" s="12" t="s">
        <v>0</v>
      </c>
      <c r="K39" s="12" t="s">
        <v>38</v>
      </c>
      <c r="L39" s="12"/>
      <c r="M39" s="12" t="s">
        <v>361</v>
      </c>
      <c r="N39" s="12" t="s">
        <v>146</v>
      </c>
      <c r="O39" s="89" t="s">
        <v>175</v>
      </c>
      <c r="Q39" s="89" t="s">
        <v>145</v>
      </c>
      <c r="R39" s="89" t="s">
        <v>142</v>
      </c>
      <c r="S39" s="89" t="s">
        <v>143</v>
      </c>
      <c r="T39" s="89" t="s">
        <v>142</v>
      </c>
      <c r="U39" s="89" t="s">
        <v>380</v>
      </c>
      <c r="AG39" s="89" t="s">
        <v>176</v>
      </c>
      <c r="AH39" s="114" t="s">
        <v>177</v>
      </c>
      <c r="AK39" s="84" t="s">
        <v>1273</v>
      </c>
      <c r="AL39" s="113" t="s">
        <v>904</v>
      </c>
      <c r="AM39" s="89" t="s">
        <v>144</v>
      </c>
      <c r="AN39" s="89" t="s">
        <v>144</v>
      </c>
      <c r="AO39" s="12" t="s">
        <v>141</v>
      </c>
      <c r="AP39" s="89" t="s">
        <v>141</v>
      </c>
      <c r="AQ39" s="12" t="s">
        <v>0</v>
      </c>
      <c r="AR39" s="89" t="s">
        <v>38</v>
      </c>
      <c r="AS39" s="12" t="s">
        <v>142</v>
      </c>
      <c r="AT39" s="89" t="s">
        <v>145</v>
      </c>
      <c r="AU39" s="12" t="s">
        <v>362</v>
      </c>
      <c r="AV39" s="12" t="s">
        <v>142</v>
      </c>
      <c r="AY39" s="32">
        <v>107.5</v>
      </c>
      <c r="BA39" s="4"/>
    </row>
    <row r="40" spans="1:53" s="89" customFormat="1" ht="12" customHeight="1" x14ac:dyDescent="0.15">
      <c r="A40" s="89" t="s">
        <v>75</v>
      </c>
      <c r="B40" s="111">
        <v>200984</v>
      </c>
      <c r="C40" s="209" t="s">
        <v>1455</v>
      </c>
      <c r="D40" s="199" t="s">
        <v>368</v>
      </c>
      <c r="E40" s="89" t="s">
        <v>140</v>
      </c>
      <c r="F40" s="12" t="s">
        <v>140</v>
      </c>
      <c r="G40" s="12" t="s">
        <v>141</v>
      </c>
      <c r="H40" s="89" t="s">
        <v>141</v>
      </c>
      <c r="I40" s="12" t="s">
        <v>12</v>
      </c>
      <c r="J40" s="12" t="s">
        <v>0</v>
      </c>
      <c r="K40" s="12" t="s">
        <v>38</v>
      </c>
      <c r="L40" s="12"/>
      <c r="M40" s="12" t="s">
        <v>361</v>
      </c>
      <c r="N40" s="12" t="s">
        <v>146</v>
      </c>
      <c r="O40" s="89" t="s">
        <v>175</v>
      </c>
      <c r="Q40" s="89" t="s">
        <v>145</v>
      </c>
      <c r="R40" s="89" t="s">
        <v>142</v>
      </c>
      <c r="S40" s="89" t="s">
        <v>143</v>
      </c>
      <c r="T40" s="89" t="s">
        <v>142</v>
      </c>
      <c r="U40" s="89" t="s">
        <v>380</v>
      </c>
      <c r="AG40" s="89" t="s">
        <v>176</v>
      </c>
      <c r="AH40" s="114" t="s">
        <v>177</v>
      </c>
      <c r="AK40" s="84" t="s">
        <v>1274</v>
      </c>
      <c r="AL40" s="113" t="s">
        <v>302</v>
      </c>
      <c r="AM40" s="89" t="s">
        <v>144</v>
      </c>
      <c r="AN40" s="89" t="s">
        <v>144</v>
      </c>
      <c r="AO40" s="12" t="s">
        <v>141</v>
      </c>
      <c r="AP40" s="89" t="s">
        <v>141</v>
      </c>
      <c r="AQ40" s="12" t="s">
        <v>0</v>
      </c>
      <c r="AR40" s="89" t="s">
        <v>38</v>
      </c>
      <c r="AS40" s="12" t="s">
        <v>142</v>
      </c>
      <c r="AT40" s="89" t="s">
        <v>145</v>
      </c>
      <c r="AU40" s="12" t="s">
        <v>362</v>
      </c>
      <c r="AV40" s="12" t="s">
        <v>142</v>
      </c>
      <c r="AY40" s="32">
        <v>107.5</v>
      </c>
      <c r="BA40" s="4"/>
    </row>
    <row r="41" spans="1:53" s="89" customFormat="1" ht="12" customHeight="1" x14ac:dyDescent="0.15">
      <c r="A41" s="89" t="s">
        <v>76</v>
      </c>
      <c r="B41" s="111">
        <v>200922</v>
      </c>
      <c r="C41" s="208" t="s">
        <v>1456</v>
      </c>
      <c r="D41" s="199" t="s">
        <v>996</v>
      </c>
      <c r="E41" s="89" t="s">
        <v>140</v>
      </c>
      <c r="F41" s="12" t="s">
        <v>140</v>
      </c>
      <c r="G41" s="12" t="s">
        <v>141</v>
      </c>
      <c r="H41" s="89" t="s">
        <v>141</v>
      </c>
      <c r="I41" s="12" t="s">
        <v>12</v>
      </c>
      <c r="J41" s="12" t="s">
        <v>0</v>
      </c>
      <c r="K41" s="12" t="s">
        <v>38</v>
      </c>
      <c r="L41" s="12"/>
      <c r="M41" s="12" t="s">
        <v>361</v>
      </c>
      <c r="N41" s="12" t="s">
        <v>146</v>
      </c>
      <c r="O41" s="89" t="s">
        <v>175</v>
      </c>
      <c r="Q41" s="89" t="s">
        <v>145</v>
      </c>
      <c r="R41" s="89" t="s">
        <v>142</v>
      </c>
      <c r="S41" s="89" t="s">
        <v>143</v>
      </c>
      <c r="T41" s="89" t="s">
        <v>142</v>
      </c>
      <c r="U41" s="89" t="s">
        <v>380</v>
      </c>
      <c r="AG41" s="89" t="s">
        <v>176</v>
      </c>
      <c r="AH41" s="114" t="s">
        <v>177</v>
      </c>
      <c r="AK41" s="84" t="s">
        <v>1275</v>
      </c>
      <c r="AL41" s="113" t="s">
        <v>381</v>
      </c>
      <c r="AM41" s="89" t="s">
        <v>144</v>
      </c>
      <c r="AN41" s="89" t="s">
        <v>144</v>
      </c>
      <c r="AO41" s="12" t="s">
        <v>141</v>
      </c>
      <c r="AP41" s="89" t="s">
        <v>141</v>
      </c>
      <c r="AQ41" s="12" t="s">
        <v>0</v>
      </c>
      <c r="AR41" s="89" t="s">
        <v>38</v>
      </c>
      <c r="AS41" s="12" t="s">
        <v>142</v>
      </c>
      <c r="AT41" s="89" t="s">
        <v>145</v>
      </c>
      <c r="AU41" s="12" t="s">
        <v>362</v>
      </c>
      <c r="AV41" s="12" t="s">
        <v>142</v>
      </c>
      <c r="AY41" s="32">
        <v>107.5</v>
      </c>
      <c r="BA41" s="4"/>
    </row>
    <row r="42" spans="1:53" s="89" customFormat="1" ht="12" customHeight="1" x14ac:dyDescent="0.15">
      <c r="A42" s="89" t="s">
        <v>77</v>
      </c>
      <c r="B42" s="111">
        <v>200986</v>
      </c>
      <c r="C42" s="208" t="s">
        <v>1457</v>
      </c>
      <c r="D42" s="199" t="s">
        <v>225</v>
      </c>
      <c r="E42" s="89" t="s">
        <v>140</v>
      </c>
      <c r="F42" s="12" t="s">
        <v>140</v>
      </c>
      <c r="G42" s="12" t="s">
        <v>141</v>
      </c>
      <c r="H42" s="89" t="s">
        <v>141</v>
      </c>
      <c r="I42" s="12" t="s">
        <v>12</v>
      </c>
      <c r="J42" s="12" t="s">
        <v>0</v>
      </c>
      <c r="K42" s="12" t="s">
        <v>38</v>
      </c>
      <c r="L42" s="12"/>
      <c r="M42" s="12" t="s">
        <v>361</v>
      </c>
      <c r="N42" s="12" t="s">
        <v>146</v>
      </c>
      <c r="O42" s="89" t="s">
        <v>175</v>
      </c>
      <c r="Q42" s="89" t="s">
        <v>145</v>
      </c>
      <c r="R42" s="89" t="s">
        <v>142</v>
      </c>
      <c r="S42" s="89" t="s">
        <v>143</v>
      </c>
      <c r="T42" s="89" t="s">
        <v>142</v>
      </c>
      <c r="U42" s="89" t="s">
        <v>380</v>
      </c>
      <c r="AG42" s="89" t="s">
        <v>176</v>
      </c>
      <c r="AH42" s="114" t="s">
        <v>177</v>
      </c>
      <c r="AK42" s="84" t="s">
        <v>1276</v>
      </c>
      <c r="AL42" s="113" t="s">
        <v>303</v>
      </c>
      <c r="AM42" s="89" t="s">
        <v>144</v>
      </c>
      <c r="AN42" s="89" t="s">
        <v>144</v>
      </c>
      <c r="AO42" s="12" t="s">
        <v>141</v>
      </c>
      <c r="AP42" s="89" t="s">
        <v>141</v>
      </c>
      <c r="AQ42" s="12" t="s">
        <v>0</v>
      </c>
      <c r="AR42" s="89" t="s">
        <v>38</v>
      </c>
      <c r="AS42" s="12" t="s">
        <v>142</v>
      </c>
      <c r="AT42" s="89" t="s">
        <v>145</v>
      </c>
      <c r="AU42" s="12" t="s">
        <v>362</v>
      </c>
      <c r="AV42" s="12" t="s">
        <v>142</v>
      </c>
      <c r="AY42" s="32">
        <v>107.5</v>
      </c>
      <c r="BA42" s="4"/>
    </row>
    <row r="43" spans="1:53" s="89" customFormat="1" ht="12" customHeight="1" x14ac:dyDescent="0.15">
      <c r="A43" s="89" t="s">
        <v>78</v>
      </c>
      <c r="B43" s="111">
        <v>200985</v>
      </c>
      <c r="C43" s="208" t="s">
        <v>1458</v>
      </c>
      <c r="D43" s="199" t="s">
        <v>391</v>
      </c>
      <c r="E43" s="89" t="s">
        <v>140</v>
      </c>
      <c r="F43" s="12" t="s">
        <v>140</v>
      </c>
      <c r="G43" s="12" t="s">
        <v>141</v>
      </c>
      <c r="H43" s="89" t="s">
        <v>141</v>
      </c>
      <c r="I43" s="12" t="s">
        <v>12</v>
      </c>
      <c r="J43" s="12" t="s">
        <v>0</v>
      </c>
      <c r="K43" s="12" t="s">
        <v>38</v>
      </c>
      <c r="L43" s="12"/>
      <c r="M43" s="12" t="s">
        <v>361</v>
      </c>
      <c r="N43" s="12" t="s">
        <v>146</v>
      </c>
      <c r="O43" s="89" t="s">
        <v>175</v>
      </c>
      <c r="Q43" s="89" t="s">
        <v>145</v>
      </c>
      <c r="R43" s="89" t="s">
        <v>142</v>
      </c>
      <c r="S43" s="89" t="s">
        <v>143</v>
      </c>
      <c r="T43" s="89" t="s">
        <v>142</v>
      </c>
      <c r="U43" s="89" t="s">
        <v>380</v>
      </c>
      <c r="AG43" s="89" t="s">
        <v>176</v>
      </c>
      <c r="AH43" s="114" t="s">
        <v>177</v>
      </c>
      <c r="AK43" s="84" t="s">
        <v>1277</v>
      </c>
      <c r="AL43" s="113" t="s">
        <v>414</v>
      </c>
      <c r="AM43" s="89" t="s">
        <v>144</v>
      </c>
      <c r="AN43" s="89" t="s">
        <v>144</v>
      </c>
      <c r="AO43" s="12" t="s">
        <v>141</v>
      </c>
      <c r="AP43" s="89" t="s">
        <v>141</v>
      </c>
      <c r="AQ43" s="12" t="s">
        <v>0</v>
      </c>
      <c r="AR43" s="89" t="s">
        <v>38</v>
      </c>
      <c r="AS43" s="12" t="s">
        <v>142</v>
      </c>
      <c r="AT43" s="89" t="s">
        <v>145</v>
      </c>
      <c r="AU43" s="12" t="s">
        <v>362</v>
      </c>
      <c r="AV43" s="12" t="s">
        <v>142</v>
      </c>
      <c r="AY43" s="32">
        <v>107.5</v>
      </c>
      <c r="BA43" s="4"/>
    </row>
    <row r="44" spans="1:53" s="89" customFormat="1" ht="12" customHeight="1" x14ac:dyDescent="0.15">
      <c r="A44" s="89" t="s">
        <v>79</v>
      </c>
      <c r="B44" s="111">
        <v>200987</v>
      </c>
      <c r="C44" s="208" t="s">
        <v>1459</v>
      </c>
      <c r="D44" s="199" t="s">
        <v>226</v>
      </c>
      <c r="E44" s="89" t="s">
        <v>140</v>
      </c>
      <c r="F44" s="12" t="s">
        <v>140</v>
      </c>
      <c r="G44" s="12" t="s">
        <v>141</v>
      </c>
      <c r="H44" s="89" t="s">
        <v>141</v>
      </c>
      <c r="I44" s="12" t="s">
        <v>12</v>
      </c>
      <c r="J44" s="12" t="s">
        <v>0</v>
      </c>
      <c r="K44" s="12" t="s">
        <v>38</v>
      </c>
      <c r="L44" s="12"/>
      <c r="M44" s="12" t="s">
        <v>361</v>
      </c>
      <c r="N44" s="12" t="s">
        <v>146</v>
      </c>
      <c r="O44" s="89" t="s">
        <v>175</v>
      </c>
      <c r="Q44" s="89" t="s">
        <v>145</v>
      </c>
      <c r="R44" s="89" t="s">
        <v>142</v>
      </c>
      <c r="S44" s="89" t="s">
        <v>143</v>
      </c>
      <c r="T44" s="89" t="s">
        <v>142</v>
      </c>
      <c r="U44" s="89" t="s">
        <v>380</v>
      </c>
      <c r="AG44" s="89" t="s">
        <v>176</v>
      </c>
      <c r="AH44" s="114" t="s">
        <v>177</v>
      </c>
      <c r="AK44" s="84" t="s">
        <v>1278</v>
      </c>
      <c r="AL44" s="113" t="s">
        <v>415</v>
      </c>
      <c r="AM44" s="89" t="s">
        <v>144</v>
      </c>
      <c r="AN44" s="89" t="s">
        <v>144</v>
      </c>
      <c r="AO44" s="12" t="s">
        <v>141</v>
      </c>
      <c r="AP44" s="89" t="s">
        <v>141</v>
      </c>
      <c r="AQ44" s="12" t="s">
        <v>0</v>
      </c>
      <c r="AR44" s="89" t="s">
        <v>38</v>
      </c>
      <c r="AS44" s="12" t="s">
        <v>142</v>
      </c>
      <c r="AT44" s="89" t="s">
        <v>145</v>
      </c>
      <c r="AU44" s="12" t="s">
        <v>362</v>
      </c>
      <c r="AV44" s="12" t="s">
        <v>142</v>
      </c>
      <c r="AY44" s="32">
        <v>107.5</v>
      </c>
      <c r="BA44" s="4"/>
    </row>
    <row r="45" spans="1:53" s="89" customFormat="1" ht="12" customHeight="1" x14ac:dyDescent="0.15">
      <c r="A45" s="89" t="s">
        <v>80</v>
      </c>
      <c r="B45" s="111">
        <v>200988</v>
      </c>
      <c r="C45" s="208" t="s">
        <v>1460</v>
      </c>
      <c r="D45" s="199" t="s">
        <v>274</v>
      </c>
      <c r="E45" s="89" t="s">
        <v>140</v>
      </c>
      <c r="F45" s="12" t="s">
        <v>140</v>
      </c>
      <c r="G45" s="12" t="s">
        <v>141</v>
      </c>
      <c r="H45" s="89" t="s">
        <v>141</v>
      </c>
      <c r="I45" s="12" t="s">
        <v>12</v>
      </c>
      <c r="J45" s="12" t="s">
        <v>0</v>
      </c>
      <c r="K45" s="12" t="s">
        <v>38</v>
      </c>
      <c r="L45" s="12"/>
      <c r="M45" s="12" t="s">
        <v>361</v>
      </c>
      <c r="N45" s="12" t="s">
        <v>146</v>
      </c>
      <c r="O45" s="89" t="s">
        <v>175</v>
      </c>
      <c r="Q45" s="89" t="s">
        <v>145</v>
      </c>
      <c r="R45" s="89" t="s">
        <v>142</v>
      </c>
      <c r="S45" s="89" t="s">
        <v>143</v>
      </c>
      <c r="T45" s="89" t="s">
        <v>142</v>
      </c>
      <c r="U45" s="89" t="s">
        <v>380</v>
      </c>
      <c r="AG45" s="89" t="s">
        <v>176</v>
      </c>
      <c r="AH45" s="114" t="s">
        <v>177</v>
      </c>
      <c r="AK45" s="84" t="s">
        <v>1279</v>
      </c>
      <c r="AL45" s="113" t="s">
        <v>388</v>
      </c>
      <c r="AM45" s="89" t="s">
        <v>144</v>
      </c>
      <c r="AN45" s="89" t="s">
        <v>144</v>
      </c>
      <c r="AO45" s="12" t="s">
        <v>141</v>
      </c>
      <c r="AP45" s="89" t="s">
        <v>141</v>
      </c>
      <c r="AQ45" s="12" t="s">
        <v>0</v>
      </c>
      <c r="AR45" s="89" t="s">
        <v>38</v>
      </c>
      <c r="AS45" s="12" t="s">
        <v>142</v>
      </c>
      <c r="AT45" s="89" t="s">
        <v>145</v>
      </c>
      <c r="AU45" s="12" t="s">
        <v>362</v>
      </c>
      <c r="AV45" s="12" t="s">
        <v>142</v>
      </c>
      <c r="AY45" s="32">
        <v>107.5</v>
      </c>
      <c r="BA45" s="4"/>
    </row>
    <row r="46" spans="1:53" s="89" customFormat="1" ht="12" customHeight="1" x14ac:dyDescent="0.15">
      <c r="A46" s="89" t="s">
        <v>81</v>
      </c>
      <c r="B46" s="111">
        <v>200990</v>
      </c>
      <c r="C46" s="208" t="s">
        <v>1461</v>
      </c>
      <c r="D46" s="199" t="s">
        <v>227</v>
      </c>
      <c r="E46" s="89" t="s">
        <v>140</v>
      </c>
      <c r="F46" s="12" t="s">
        <v>140</v>
      </c>
      <c r="G46" s="12" t="s">
        <v>141</v>
      </c>
      <c r="H46" s="89" t="s">
        <v>141</v>
      </c>
      <c r="I46" s="12" t="s">
        <v>12</v>
      </c>
      <c r="J46" s="12" t="s">
        <v>0</v>
      </c>
      <c r="K46" s="12" t="s">
        <v>38</v>
      </c>
      <c r="L46" s="12"/>
      <c r="M46" s="12" t="s">
        <v>361</v>
      </c>
      <c r="N46" s="12" t="s">
        <v>146</v>
      </c>
      <c r="O46" s="89" t="s">
        <v>175</v>
      </c>
      <c r="Q46" s="89" t="s">
        <v>145</v>
      </c>
      <c r="R46" s="89" t="s">
        <v>142</v>
      </c>
      <c r="S46" s="89" t="s">
        <v>143</v>
      </c>
      <c r="T46" s="89" t="s">
        <v>142</v>
      </c>
      <c r="U46" s="89" t="s">
        <v>380</v>
      </c>
      <c r="AG46" s="89" t="s">
        <v>176</v>
      </c>
      <c r="AH46" s="114" t="s">
        <v>177</v>
      </c>
      <c r="AK46" s="84" t="s">
        <v>1280</v>
      </c>
      <c r="AL46" s="113" t="s">
        <v>304</v>
      </c>
      <c r="AM46" s="89" t="s">
        <v>144</v>
      </c>
      <c r="AN46" s="89" t="s">
        <v>144</v>
      </c>
      <c r="AO46" s="12" t="s">
        <v>141</v>
      </c>
      <c r="AP46" s="89" t="s">
        <v>141</v>
      </c>
      <c r="AQ46" s="12" t="s">
        <v>0</v>
      </c>
      <c r="AR46" s="89" t="s">
        <v>38</v>
      </c>
      <c r="AS46" s="12" t="s">
        <v>142</v>
      </c>
      <c r="AT46" s="89" t="s">
        <v>145</v>
      </c>
      <c r="AU46" s="12" t="s">
        <v>362</v>
      </c>
      <c r="AV46" s="12" t="s">
        <v>142</v>
      </c>
      <c r="AY46" s="32">
        <v>107.5</v>
      </c>
      <c r="BA46" s="4"/>
    </row>
    <row r="47" spans="1:53" s="89" customFormat="1" ht="12" customHeight="1" x14ac:dyDescent="0.15">
      <c r="A47" s="89" t="s">
        <v>82</v>
      </c>
      <c r="B47" s="111">
        <v>201034</v>
      </c>
      <c r="C47" s="208" t="s">
        <v>1462</v>
      </c>
      <c r="D47" s="199" t="s">
        <v>228</v>
      </c>
      <c r="E47" s="89" t="s">
        <v>140</v>
      </c>
      <c r="F47" s="12" t="s">
        <v>140</v>
      </c>
      <c r="G47" s="12" t="s">
        <v>141</v>
      </c>
      <c r="H47" s="89" t="s">
        <v>141</v>
      </c>
      <c r="I47" s="12" t="s">
        <v>12</v>
      </c>
      <c r="J47" s="12" t="s">
        <v>0</v>
      </c>
      <c r="K47" s="12" t="s">
        <v>38</v>
      </c>
      <c r="L47" s="12"/>
      <c r="M47" s="12" t="s">
        <v>361</v>
      </c>
      <c r="N47" s="12" t="s">
        <v>146</v>
      </c>
      <c r="O47" s="89" t="s">
        <v>175</v>
      </c>
      <c r="Q47" s="89" t="s">
        <v>145</v>
      </c>
      <c r="R47" s="89" t="s">
        <v>142</v>
      </c>
      <c r="S47" s="89" t="s">
        <v>143</v>
      </c>
      <c r="T47" s="89" t="s">
        <v>142</v>
      </c>
      <c r="U47" s="89" t="s">
        <v>380</v>
      </c>
      <c r="AG47" s="89" t="s">
        <v>176</v>
      </c>
      <c r="AH47" s="114" t="s">
        <v>177</v>
      </c>
      <c r="AK47" s="84" t="s">
        <v>1281</v>
      </c>
      <c r="AL47" s="113" t="s">
        <v>305</v>
      </c>
      <c r="AM47" s="89" t="s">
        <v>144</v>
      </c>
      <c r="AN47" s="89" t="s">
        <v>144</v>
      </c>
      <c r="AO47" s="12" t="s">
        <v>141</v>
      </c>
      <c r="AP47" s="89" t="s">
        <v>141</v>
      </c>
      <c r="AQ47" s="12" t="s">
        <v>0</v>
      </c>
      <c r="AR47" s="89" t="s">
        <v>38</v>
      </c>
      <c r="AS47" s="12" t="s">
        <v>142</v>
      </c>
      <c r="AT47" s="89" t="s">
        <v>145</v>
      </c>
      <c r="AU47" s="12" t="s">
        <v>362</v>
      </c>
      <c r="AV47" s="12" t="s">
        <v>142</v>
      </c>
      <c r="AY47" s="32">
        <v>107.5</v>
      </c>
      <c r="BA47" s="4"/>
    </row>
    <row r="48" spans="1:53" s="89" customFormat="1" ht="12" customHeight="1" x14ac:dyDescent="0.15">
      <c r="A48" s="89" t="s">
        <v>83</v>
      </c>
      <c r="B48" s="111">
        <v>201042</v>
      </c>
      <c r="C48" s="208" t="s">
        <v>1463</v>
      </c>
      <c r="D48" s="199" t="s">
        <v>943</v>
      </c>
      <c r="E48" s="89" t="s">
        <v>140</v>
      </c>
      <c r="F48" s="12" t="s">
        <v>140</v>
      </c>
      <c r="G48" s="12" t="s">
        <v>141</v>
      </c>
      <c r="H48" s="89" t="s">
        <v>141</v>
      </c>
      <c r="I48" s="12" t="s">
        <v>12</v>
      </c>
      <c r="J48" s="12" t="s">
        <v>0</v>
      </c>
      <c r="K48" s="12" t="s">
        <v>38</v>
      </c>
      <c r="L48" s="12"/>
      <c r="M48" s="12" t="s">
        <v>361</v>
      </c>
      <c r="N48" s="12" t="s">
        <v>146</v>
      </c>
      <c r="O48" s="89" t="s">
        <v>175</v>
      </c>
      <c r="Q48" s="89" t="s">
        <v>145</v>
      </c>
      <c r="R48" s="89" t="s">
        <v>142</v>
      </c>
      <c r="S48" s="89" t="s">
        <v>143</v>
      </c>
      <c r="T48" s="89" t="s">
        <v>142</v>
      </c>
      <c r="U48" s="89" t="s">
        <v>380</v>
      </c>
      <c r="AG48" s="89" t="s">
        <v>176</v>
      </c>
      <c r="AH48" s="114" t="s">
        <v>177</v>
      </c>
      <c r="AK48" s="84" t="s">
        <v>1282</v>
      </c>
      <c r="AL48" s="113" t="s">
        <v>306</v>
      </c>
      <c r="AM48" s="89" t="s">
        <v>144</v>
      </c>
      <c r="AN48" s="89" t="s">
        <v>144</v>
      </c>
      <c r="AO48" s="12" t="s">
        <v>141</v>
      </c>
      <c r="AP48" s="89" t="s">
        <v>141</v>
      </c>
      <c r="AQ48" s="12" t="s">
        <v>0</v>
      </c>
      <c r="AR48" s="89" t="s">
        <v>38</v>
      </c>
      <c r="AS48" s="12" t="s">
        <v>142</v>
      </c>
      <c r="AT48" s="89" t="s">
        <v>145</v>
      </c>
      <c r="AU48" s="12" t="s">
        <v>362</v>
      </c>
      <c r="AV48" s="12" t="s">
        <v>142</v>
      </c>
      <c r="AY48" s="32">
        <v>107.5</v>
      </c>
      <c r="BA48" s="4"/>
    </row>
    <row r="49" spans="1:53" s="89" customFormat="1" ht="12" customHeight="1" x14ac:dyDescent="0.15">
      <c r="A49" s="89" t="s">
        <v>84</v>
      </c>
      <c r="B49" s="111">
        <v>200797</v>
      </c>
      <c r="C49" s="208" t="s">
        <v>1464</v>
      </c>
      <c r="D49" s="199" t="s">
        <v>897</v>
      </c>
      <c r="E49" s="89" t="s">
        <v>140</v>
      </c>
      <c r="F49" s="12" t="s">
        <v>140</v>
      </c>
      <c r="G49" s="12" t="s">
        <v>141</v>
      </c>
      <c r="H49" s="89" t="s">
        <v>141</v>
      </c>
      <c r="I49" s="12" t="s">
        <v>12</v>
      </c>
      <c r="J49" s="12" t="s">
        <v>0</v>
      </c>
      <c r="K49" s="12" t="s">
        <v>38</v>
      </c>
      <c r="L49" s="12"/>
      <c r="M49" s="12" t="s">
        <v>361</v>
      </c>
      <c r="N49" s="12" t="s">
        <v>146</v>
      </c>
      <c r="O49" s="89" t="s">
        <v>175</v>
      </c>
      <c r="Q49" s="89" t="s">
        <v>145</v>
      </c>
      <c r="R49" s="89" t="s">
        <v>142</v>
      </c>
      <c r="S49" s="89" t="s">
        <v>143</v>
      </c>
      <c r="T49" s="89" t="s">
        <v>142</v>
      </c>
      <c r="U49" s="89" t="s">
        <v>380</v>
      </c>
      <c r="AG49" s="89" t="s">
        <v>176</v>
      </c>
      <c r="AH49" s="114" t="s">
        <v>177</v>
      </c>
      <c r="AK49" s="84" t="s">
        <v>1283</v>
      </c>
      <c r="AL49" s="113" t="s">
        <v>420</v>
      </c>
      <c r="AM49" s="89" t="s">
        <v>144</v>
      </c>
      <c r="AN49" s="89" t="s">
        <v>144</v>
      </c>
      <c r="AO49" s="12" t="s">
        <v>141</v>
      </c>
      <c r="AP49" s="89" t="s">
        <v>141</v>
      </c>
      <c r="AQ49" s="12" t="s">
        <v>0</v>
      </c>
      <c r="AR49" s="89" t="s">
        <v>38</v>
      </c>
      <c r="AS49" s="12" t="s">
        <v>142</v>
      </c>
      <c r="AT49" s="89" t="s">
        <v>145</v>
      </c>
      <c r="AU49" s="12" t="s">
        <v>362</v>
      </c>
      <c r="AV49" s="12" t="s">
        <v>142</v>
      </c>
      <c r="AY49" s="32">
        <v>107.5</v>
      </c>
      <c r="BA49" s="4"/>
    </row>
    <row r="50" spans="1:53" s="89" customFormat="1" ht="12" customHeight="1" x14ac:dyDescent="0.15">
      <c r="A50" s="89" t="s">
        <v>85</v>
      </c>
      <c r="B50" s="111">
        <v>201051</v>
      </c>
      <c r="C50" s="208" t="s">
        <v>1465</v>
      </c>
      <c r="D50" s="199" t="s">
        <v>1373</v>
      </c>
      <c r="E50" s="89" t="s">
        <v>140</v>
      </c>
      <c r="F50" s="12" t="s">
        <v>140</v>
      </c>
      <c r="G50" s="12" t="s">
        <v>141</v>
      </c>
      <c r="H50" s="89" t="s">
        <v>141</v>
      </c>
      <c r="I50" s="12" t="s">
        <v>12</v>
      </c>
      <c r="J50" s="12" t="s">
        <v>0</v>
      </c>
      <c r="K50" s="12" t="s">
        <v>38</v>
      </c>
      <c r="L50" s="12"/>
      <c r="M50" s="12" t="s">
        <v>361</v>
      </c>
      <c r="N50" s="12" t="s">
        <v>146</v>
      </c>
      <c r="O50" s="89" t="s">
        <v>175</v>
      </c>
      <c r="Q50" s="89" t="s">
        <v>145</v>
      </c>
      <c r="R50" s="89" t="s">
        <v>142</v>
      </c>
      <c r="S50" s="89" t="s">
        <v>143</v>
      </c>
      <c r="T50" s="89" t="s">
        <v>142</v>
      </c>
      <c r="U50" s="89" t="s">
        <v>380</v>
      </c>
      <c r="AG50" s="89" t="s">
        <v>176</v>
      </c>
      <c r="AH50" s="114" t="s">
        <v>177</v>
      </c>
      <c r="AK50" s="84" t="s">
        <v>1372</v>
      </c>
      <c r="AL50" s="113" t="s">
        <v>1374</v>
      </c>
      <c r="AM50" s="89" t="s">
        <v>144</v>
      </c>
      <c r="AN50" s="89" t="s">
        <v>144</v>
      </c>
      <c r="AO50" s="12" t="s">
        <v>141</v>
      </c>
      <c r="AP50" s="89" t="s">
        <v>141</v>
      </c>
      <c r="AQ50" s="12" t="s">
        <v>0</v>
      </c>
      <c r="AR50" s="89" t="s">
        <v>38</v>
      </c>
      <c r="AS50" s="12" t="s">
        <v>142</v>
      </c>
      <c r="AT50" s="89" t="s">
        <v>145</v>
      </c>
      <c r="AU50" s="12" t="s">
        <v>362</v>
      </c>
      <c r="AV50" s="12" t="s">
        <v>142</v>
      </c>
      <c r="AY50" s="32">
        <v>107.5</v>
      </c>
      <c r="BA50" s="4"/>
    </row>
    <row r="51" spans="1:53" s="89" customFormat="1" ht="12" customHeight="1" x14ac:dyDescent="0.15">
      <c r="A51" s="89" t="s">
        <v>86</v>
      </c>
      <c r="B51" s="111">
        <v>200995</v>
      </c>
      <c r="C51" s="208" t="s">
        <v>1466</v>
      </c>
      <c r="D51" s="199" t="s">
        <v>896</v>
      </c>
      <c r="E51" s="89" t="s">
        <v>140</v>
      </c>
      <c r="F51" s="12" t="s">
        <v>140</v>
      </c>
      <c r="G51" s="12" t="s">
        <v>141</v>
      </c>
      <c r="H51" s="89" t="s">
        <v>141</v>
      </c>
      <c r="I51" s="12" t="s">
        <v>12</v>
      </c>
      <c r="J51" s="12" t="s">
        <v>0</v>
      </c>
      <c r="K51" s="12" t="s">
        <v>38</v>
      </c>
      <c r="L51" s="12"/>
      <c r="M51" s="12" t="s">
        <v>361</v>
      </c>
      <c r="N51" s="12" t="s">
        <v>146</v>
      </c>
      <c r="O51" s="89" t="s">
        <v>175</v>
      </c>
      <c r="Q51" s="89" t="s">
        <v>145</v>
      </c>
      <c r="R51" s="89" t="s">
        <v>142</v>
      </c>
      <c r="S51" s="89" t="s">
        <v>143</v>
      </c>
      <c r="T51" s="89" t="s">
        <v>142</v>
      </c>
      <c r="U51" s="89" t="s">
        <v>380</v>
      </c>
      <c r="AG51" s="89" t="s">
        <v>176</v>
      </c>
      <c r="AH51" s="114" t="s">
        <v>177</v>
      </c>
      <c r="AK51" s="84" t="s">
        <v>1284</v>
      </c>
      <c r="AL51" s="113" t="s">
        <v>307</v>
      </c>
      <c r="AM51" s="89" t="s">
        <v>144</v>
      </c>
      <c r="AN51" s="89" t="s">
        <v>144</v>
      </c>
      <c r="AO51" s="12" t="s">
        <v>141</v>
      </c>
      <c r="AP51" s="89" t="s">
        <v>141</v>
      </c>
      <c r="AQ51" s="12" t="s">
        <v>0</v>
      </c>
      <c r="AR51" s="89" t="s">
        <v>38</v>
      </c>
      <c r="AS51" s="12" t="s">
        <v>142</v>
      </c>
      <c r="AT51" s="89" t="s">
        <v>145</v>
      </c>
      <c r="AU51" s="12" t="s">
        <v>362</v>
      </c>
      <c r="AV51" s="12" t="s">
        <v>142</v>
      </c>
      <c r="AY51" s="32">
        <v>107.5</v>
      </c>
      <c r="BA51" s="4"/>
    </row>
    <row r="52" spans="1:53" s="89" customFormat="1" ht="12" customHeight="1" x14ac:dyDescent="0.15">
      <c r="A52" s="89" t="s">
        <v>87</v>
      </c>
      <c r="B52" s="111">
        <v>200939</v>
      </c>
      <c r="C52" s="208" t="s">
        <v>1467</v>
      </c>
      <c r="D52" s="199" t="s">
        <v>994</v>
      </c>
      <c r="E52" s="89" t="s">
        <v>140</v>
      </c>
      <c r="F52" s="12" t="s">
        <v>140</v>
      </c>
      <c r="G52" s="12" t="s">
        <v>141</v>
      </c>
      <c r="H52" s="89" t="s">
        <v>141</v>
      </c>
      <c r="I52" s="12" t="s">
        <v>12</v>
      </c>
      <c r="J52" s="12" t="s">
        <v>0</v>
      </c>
      <c r="K52" s="12" t="s">
        <v>38</v>
      </c>
      <c r="L52" s="12"/>
      <c r="M52" s="12" t="s">
        <v>361</v>
      </c>
      <c r="N52" s="12" t="s">
        <v>146</v>
      </c>
      <c r="O52" s="89" t="s">
        <v>175</v>
      </c>
      <c r="Q52" s="89" t="s">
        <v>145</v>
      </c>
      <c r="R52" s="89" t="s">
        <v>142</v>
      </c>
      <c r="S52" s="89" t="s">
        <v>143</v>
      </c>
      <c r="T52" s="89" t="s">
        <v>142</v>
      </c>
      <c r="U52" s="89" t="s">
        <v>380</v>
      </c>
      <c r="AG52" s="89" t="s">
        <v>176</v>
      </c>
      <c r="AH52" s="114" t="s">
        <v>177</v>
      </c>
      <c r="AK52" s="84" t="s">
        <v>1285</v>
      </c>
      <c r="AL52" s="113" t="s">
        <v>995</v>
      </c>
      <c r="AM52" s="89" t="s">
        <v>144</v>
      </c>
      <c r="AN52" s="89" t="s">
        <v>144</v>
      </c>
      <c r="AO52" s="12" t="s">
        <v>141</v>
      </c>
      <c r="AP52" s="89" t="s">
        <v>141</v>
      </c>
      <c r="AQ52" s="12" t="s">
        <v>0</v>
      </c>
      <c r="AR52" s="89" t="s">
        <v>38</v>
      </c>
      <c r="AS52" s="12" t="s">
        <v>142</v>
      </c>
      <c r="AT52" s="89" t="s">
        <v>145</v>
      </c>
      <c r="AU52" s="12" t="s">
        <v>362</v>
      </c>
      <c r="AV52" s="12" t="s">
        <v>142</v>
      </c>
      <c r="AY52" s="32">
        <v>107.5</v>
      </c>
      <c r="BA52" s="4"/>
    </row>
    <row r="53" spans="1:53" s="89" customFormat="1" ht="12" customHeight="1" x14ac:dyDescent="0.15">
      <c r="A53" s="89" t="s">
        <v>88</v>
      </c>
      <c r="B53" s="111">
        <v>201027</v>
      </c>
      <c r="C53" s="208" t="s">
        <v>1468</v>
      </c>
      <c r="D53" s="199" t="s">
        <v>229</v>
      </c>
      <c r="E53" s="89" t="s">
        <v>140</v>
      </c>
      <c r="F53" s="12" t="s">
        <v>140</v>
      </c>
      <c r="G53" s="12" t="s">
        <v>141</v>
      </c>
      <c r="H53" s="89" t="s">
        <v>141</v>
      </c>
      <c r="I53" s="12" t="s">
        <v>12</v>
      </c>
      <c r="J53" s="12" t="s">
        <v>0</v>
      </c>
      <c r="K53" s="12" t="s">
        <v>38</v>
      </c>
      <c r="L53" s="12"/>
      <c r="M53" s="12" t="s">
        <v>361</v>
      </c>
      <c r="N53" s="12" t="s">
        <v>146</v>
      </c>
      <c r="O53" s="89" t="s">
        <v>175</v>
      </c>
      <c r="Q53" s="89" t="s">
        <v>145</v>
      </c>
      <c r="R53" s="89" t="s">
        <v>142</v>
      </c>
      <c r="S53" s="89" t="s">
        <v>143</v>
      </c>
      <c r="T53" s="89" t="s">
        <v>142</v>
      </c>
      <c r="U53" s="89" t="s">
        <v>380</v>
      </c>
      <c r="AG53" s="89" t="s">
        <v>176</v>
      </c>
      <c r="AH53" s="114" t="s">
        <v>177</v>
      </c>
      <c r="AK53" s="84" t="s">
        <v>1410</v>
      </c>
      <c r="AL53" s="113" t="s">
        <v>308</v>
      </c>
      <c r="AM53" s="89" t="s">
        <v>144</v>
      </c>
      <c r="AN53" s="89" t="s">
        <v>144</v>
      </c>
      <c r="AO53" s="12" t="s">
        <v>141</v>
      </c>
      <c r="AP53" s="89" t="s">
        <v>141</v>
      </c>
      <c r="AQ53" s="12" t="s">
        <v>0</v>
      </c>
      <c r="AR53" s="89" t="s">
        <v>38</v>
      </c>
      <c r="AS53" s="12" t="s">
        <v>142</v>
      </c>
      <c r="AT53" s="89" t="s">
        <v>145</v>
      </c>
      <c r="AU53" s="12" t="s">
        <v>362</v>
      </c>
      <c r="AV53" s="12" t="s">
        <v>142</v>
      </c>
      <c r="AY53" s="32">
        <v>107.5</v>
      </c>
      <c r="BA53" s="4"/>
    </row>
    <row r="54" spans="1:53" s="89" customFormat="1" ht="12" customHeight="1" x14ac:dyDescent="0.15">
      <c r="A54" s="89" t="s">
        <v>89</v>
      </c>
      <c r="B54" s="111">
        <v>201049</v>
      </c>
      <c r="C54" s="208" t="s">
        <v>1469</v>
      </c>
      <c r="D54" s="199" t="s">
        <v>230</v>
      </c>
      <c r="E54" s="89" t="s">
        <v>140</v>
      </c>
      <c r="F54" s="12" t="s">
        <v>140</v>
      </c>
      <c r="G54" s="12" t="s">
        <v>141</v>
      </c>
      <c r="H54" s="89" t="s">
        <v>141</v>
      </c>
      <c r="I54" s="12" t="s">
        <v>12</v>
      </c>
      <c r="J54" s="12" t="s">
        <v>0</v>
      </c>
      <c r="K54" s="12" t="s">
        <v>38</v>
      </c>
      <c r="L54" s="12"/>
      <c r="M54" s="12" t="s">
        <v>361</v>
      </c>
      <c r="N54" s="12" t="s">
        <v>146</v>
      </c>
      <c r="O54" s="89" t="s">
        <v>175</v>
      </c>
      <c r="Q54" s="89" t="s">
        <v>145</v>
      </c>
      <c r="R54" s="89" t="s">
        <v>142</v>
      </c>
      <c r="S54" s="89" t="s">
        <v>143</v>
      </c>
      <c r="T54" s="89" t="s">
        <v>142</v>
      </c>
      <c r="U54" s="89" t="s">
        <v>380</v>
      </c>
      <c r="AG54" s="89" t="s">
        <v>176</v>
      </c>
      <c r="AH54" s="114" t="s">
        <v>177</v>
      </c>
      <c r="AK54" s="84" t="s">
        <v>1286</v>
      </c>
      <c r="AL54" s="113" t="s">
        <v>410</v>
      </c>
      <c r="AM54" s="89" t="s">
        <v>144</v>
      </c>
      <c r="AN54" s="89" t="s">
        <v>144</v>
      </c>
      <c r="AO54" s="12" t="s">
        <v>141</v>
      </c>
      <c r="AP54" s="89" t="s">
        <v>141</v>
      </c>
      <c r="AQ54" s="12" t="s">
        <v>0</v>
      </c>
      <c r="AR54" s="89" t="s">
        <v>38</v>
      </c>
      <c r="AS54" s="12" t="s">
        <v>142</v>
      </c>
      <c r="AT54" s="89" t="s">
        <v>145</v>
      </c>
      <c r="AU54" s="12" t="s">
        <v>362</v>
      </c>
      <c r="AV54" s="12" t="s">
        <v>142</v>
      </c>
      <c r="AY54" s="32">
        <v>107.5</v>
      </c>
      <c r="BA54" s="4"/>
    </row>
    <row r="55" spans="1:53" s="89" customFormat="1" ht="12" customHeight="1" x14ac:dyDescent="0.15">
      <c r="A55" s="89" t="s">
        <v>90</v>
      </c>
      <c r="B55" s="111">
        <v>201035</v>
      </c>
      <c r="C55" s="208" t="s">
        <v>1470</v>
      </c>
      <c r="D55" s="199" t="s">
        <v>887</v>
      </c>
      <c r="E55" s="89" t="s">
        <v>140</v>
      </c>
      <c r="F55" s="12" t="s">
        <v>140</v>
      </c>
      <c r="G55" s="12" t="s">
        <v>141</v>
      </c>
      <c r="H55" s="89" t="s">
        <v>141</v>
      </c>
      <c r="I55" s="12" t="s">
        <v>12</v>
      </c>
      <c r="J55" s="12" t="s">
        <v>0</v>
      </c>
      <c r="K55" s="12" t="s">
        <v>38</v>
      </c>
      <c r="L55" s="12"/>
      <c r="M55" s="12" t="s">
        <v>361</v>
      </c>
      <c r="N55" s="12" t="s">
        <v>146</v>
      </c>
      <c r="O55" s="89" t="s">
        <v>175</v>
      </c>
      <c r="Q55" s="89" t="s">
        <v>145</v>
      </c>
      <c r="R55" s="89" t="s">
        <v>142</v>
      </c>
      <c r="S55" s="89" t="s">
        <v>143</v>
      </c>
      <c r="T55" s="89" t="s">
        <v>142</v>
      </c>
      <c r="U55" s="89" t="s">
        <v>380</v>
      </c>
      <c r="AG55" s="89" t="s">
        <v>176</v>
      </c>
      <c r="AH55" s="114" t="s">
        <v>177</v>
      </c>
      <c r="AK55" s="84" t="s">
        <v>1287</v>
      </c>
      <c r="AL55" s="113" t="s">
        <v>386</v>
      </c>
      <c r="AM55" s="89" t="s">
        <v>144</v>
      </c>
      <c r="AN55" s="89" t="s">
        <v>144</v>
      </c>
      <c r="AO55" s="12" t="s">
        <v>141</v>
      </c>
      <c r="AP55" s="89" t="s">
        <v>141</v>
      </c>
      <c r="AQ55" s="12" t="s">
        <v>0</v>
      </c>
      <c r="AR55" s="89" t="s">
        <v>38</v>
      </c>
      <c r="AS55" s="12" t="s">
        <v>142</v>
      </c>
      <c r="AT55" s="89" t="s">
        <v>145</v>
      </c>
      <c r="AU55" s="12" t="s">
        <v>362</v>
      </c>
      <c r="AV55" s="12" t="s">
        <v>142</v>
      </c>
      <c r="AY55" s="32">
        <v>107.5</v>
      </c>
      <c r="BA55" s="4"/>
    </row>
    <row r="56" spans="1:53" s="89" customFormat="1" ht="12" customHeight="1" x14ac:dyDescent="0.15">
      <c r="A56" s="89" t="s">
        <v>91</v>
      </c>
      <c r="B56" s="111">
        <v>201033</v>
      </c>
      <c r="C56" s="208" t="s">
        <v>1471</v>
      </c>
      <c r="D56" s="199" t="s">
        <v>374</v>
      </c>
      <c r="E56" s="89" t="s">
        <v>140</v>
      </c>
      <c r="F56" s="12" t="s">
        <v>140</v>
      </c>
      <c r="G56" s="12" t="s">
        <v>141</v>
      </c>
      <c r="H56" s="89" t="s">
        <v>141</v>
      </c>
      <c r="I56" s="12" t="s">
        <v>12</v>
      </c>
      <c r="J56" s="12" t="s">
        <v>0</v>
      </c>
      <c r="K56" s="12" t="s">
        <v>38</v>
      </c>
      <c r="L56" s="12"/>
      <c r="M56" s="12" t="s">
        <v>361</v>
      </c>
      <c r="N56" s="12" t="s">
        <v>146</v>
      </c>
      <c r="O56" s="89" t="s">
        <v>175</v>
      </c>
      <c r="Q56" s="89" t="s">
        <v>145</v>
      </c>
      <c r="R56" s="89" t="s">
        <v>142</v>
      </c>
      <c r="S56" s="89" t="s">
        <v>143</v>
      </c>
      <c r="T56" s="89" t="s">
        <v>142</v>
      </c>
      <c r="U56" s="89" t="s">
        <v>380</v>
      </c>
      <c r="AG56" s="89" t="s">
        <v>176</v>
      </c>
      <c r="AH56" s="114" t="s">
        <v>177</v>
      </c>
      <c r="AK56" s="84" t="s">
        <v>1288</v>
      </c>
      <c r="AL56" s="113" t="s">
        <v>309</v>
      </c>
      <c r="AM56" s="89" t="s">
        <v>144</v>
      </c>
      <c r="AN56" s="89" t="s">
        <v>144</v>
      </c>
      <c r="AO56" s="12" t="s">
        <v>141</v>
      </c>
      <c r="AP56" s="89" t="s">
        <v>141</v>
      </c>
      <c r="AQ56" s="12" t="s">
        <v>0</v>
      </c>
      <c r="AR56" s="89" t="s">
        <v>38</v>
      </c>
      <c r="AS56" s="12" t="s">
        <v>142</v>
      </c>
      <c r="AT56" s="89" t="s">
        <v>145</v>
      </c>
      <c r="AU56" s="12" t="s">
        <v>362</v>
      </c>
      <c r="AV56" s="12" t="s">
        <v>142</v>
      </c>
      <c r="AY56" s="32">
        <v>107.5</v>
      </c>
      <c r="BA56" s="4"/>
    </row>
    <row r="57" spans="1:53" s="115" customFormat="1" ht="12" customHeight="1" x14ac:dyDescent="0.15">
      <c r="A57" s="89" t="s">
        <v>92</v>
      </c>
      <c r="B57" s="111">
        <v>201054</v>
      </c>
      <c r="C57" s="208" t="s">
        <v>1472</v>
      </c>
      <c r="D57" s="199" t="s">
        <v>275</v>
      </c>
      <c r="E57" s="115" t="s">
        <v>140</v>
      </c>
      <c r="F57" s="115" t="s">
        <v>140</v>
      </c>
      <c r="G57" s="115" t="s">
        <v>141</v>
      </c>
      <c r="H57" s="115" t="s">
        <v>141</v>
      </c>
      <c r="I57" s="115" t="s">
        <v>12</v>
      </c>
      <c r="J57" s="115" t="s">
        <v>0</v>
      </c>
      <c r="K57" s="115" t="s">
        <v>38</v>
      </c>
      <c r="M57" s="12" t="s">
        <v>361</v>
      </c>
      <c r="N57" s="12" t="s">
        <v>146</v>
      </c>
      <c r="O57" s="115" t="s">
        <v>175</v>
      </c>
      <c r="Q57" s="115" t="s">
        <v>145</v>
      </c>
      <c r="R57" s="115" t="s">
        <v>142</v>
      </c>
      <c r="S57" s="115" t="s">
        <v>143</v>
      </c>
      <c r="T57" s="115" t="s">
        <v>142</v>
      </c>
      <c r="U57" s="89" t="s">
        <v>380</v>
      </c>
      <c r="AG57" s="115" t="s">
        <v>176</v>
      </c>
      <c r="AH57" s="115" t="s">
        <v>177</v>
      </c>
      <c r="AK57" s="84" t="s">
        <v>1289</v>
      </c>
      <c r="AL57" s="113" t="s">
        <v>310</v>
      </c>
      <c r="AM57" s="115" t="s">
        <v>144</v>
      </c>
      <c r="AN57" s="115" t="s">
        <v>144</v>
      </c>
      <c r="AO57" s="115" t="s">
        <v>141</v>
      </c>
      <c r="AP57" s="115" t="s">
        <v>141</v>
      </c>
      <c r="AQ57" s="115" t="s">
        <v>0</v>
      </c>
      <c r="AR57" s="115" t="s">
        <v>38</v>
      </c>
      <c r="AS57" s="115" t="s">
        <v>142</v>
      </c>
      <c r="AT57" s="115" t="s">
        <v>145</v>
      </c>
      <c r="AU57" s="12" t="s">
        <v>362</v>
      </c>
      <c r="AV57" s="115" t="s">
        <v>142</v>
      </c>
      <c r="AY57" s="32">
        <v>107.5</v>
      </c>
      <c r="BA57" s="4"/>
    </row>
    <row r="58" spans="1:53" s="89" customFormat="1" ht="12" customHeight="1" x14ac:dyDescent="0.15">
      <c r="A58" s="89" t="s">
        <v>93</v>
      </c>
      <c r="B58" s="111">
        <v>201050</v>
      </c>
      <c r="C58" s="208" t="s">
        <v>1473</v>
      </c>
      <c r="D58" s="199" t="s">
        <v>231</v>
      </c>
      <c r="E58" s="89" t="s">
        <v>140</v>
      </c>
      <c r="F58" s="12" t="s">
        <v>140</v>
      </c>
      <c r="G58" s="12" t="s">
        <v>141</v>
      </c>
      <c r="H58" s="89" t="s">
        <v>141</v>
      </c>
      <c r="I58" s="12" t="s">
        <v>12</v>
      </c>
      <c r="J58" s="12" t="s">
        <v>0</v>
      </c>
      <c r="K58" s="12" t="s">
        <v>38</v>
      </c>
      <c r="L58" s="12"/>
      <c r="M58" s="12" t="s">
        <v>361</v>
      </c>
      <c r="N58" s="12" t="s">
        <v>146</v>
      </c>
      <c r="O58" s="89" t="s">
        <v>175</v>
      </c>
      <c r="Q58" s="89" t="s">
        <v>145</v>
      </c>
      <c r="R58" s="89" t="s">
        <v>142</v>
      </c>
      <c r="S58" s="89" t="s">
        <v>143</v>
      </c>
      <c r="T58" s="89" t="s">
        <v>142</v>
      </c>
      <c r="U58" s="89" t="s">
        <v>380</v>
      </c>
      <c r="AG58" s="89" t="s">
        <v>176</v>
      </c>
      <c r="AH58" s="114" t="s">
        <v>177</v>
      </c>
      <c r="AK58" s="84" t="s">
        <v>1290</v>
      </c>
      <c r="AL58" s="113" t="s">
        <v>423</v>
      </c>
      <c r="AM58" s="89" t="s">
        <v>144</v>
      </c>
      <c r="AN58" s="89" t="s">
        <v>144</v>
      </c>
      <c r="AO58" s="12" t="s">
        <v>141</v>
      </c>
      <c r="AP58" s="89" t="s">
        <v>141</v>
      </c>
      <c r="AQ58" s="12" t="s">
        <v>0</v>
      </c>
      <c r="AR58" s="89" t="s">
        <v>38</v>
      </c>
      <c r="AS58" s="12" t="s">
        <v>142</v>
      </c>
      <c r="AT58" s="89" t="s">
        <v>145</v>
      </c>
      <c r="AU58" s="12" t="s">
        <v>362</v>
      </c>
      <c r="AV58" s="12" t="s">
        <v>142</v>
      </c>
      <c r="AY58" s="32">
        <v>107.5</v>
      </c>
      <c r="BA58" s="4"/>
    </row>
    <row r="59" spans="1:53" s="89" customFormat="1" ht="12" customHeight="1" x14ac:dyDescent="0.15">
      <c r="A59" s="89" t="s">
        <v>94</v>
      </c>
      <c r="B59" s="111">
        <v>201048</v>
      </c>
      <c r="C59" s="208" t="s">
        <v>1474</v>
      </c>
      <c r="D59" s="199" t="s">
        <v>232</v>
      </c>
      <c r="E59" s="89" t="s">
        <v>140</v>
      </c>
      <c r="F59" s="12" t="s">
        <v>140</v>
      </c>
      <c r="G59" s="12" t="s">
        <v>141</v>
      </c>
      <c r="H59" s="89" t="s">
        <v>141</v>
      </c>
      <c r="I59" s="12" t="s">
        <v>12</v>
      </c>
      <c r="J59" s="12" t="s">
        <v>0</v>
      </c>
      <c r="K59" s="12" t="s">
        <v>38</v>
      </c>
      <c r="L59" s="12"/>
      <c r="M59" s="12" t="s">
        <v>361</v>
      </c>
      <c r="N59" s="12" t="s">
        <v>146</v>
      </c>
      <c r="O59" s="89" t="s">
        <v>175</v>
      </c>
      <c r="Q59" s="89" t="s">
        <v>145</v>
      </c>
      <c r="R59" s="89" t="s">
        <v>142</v>
      </c>
      <c r="S59" s="89" t="s">
        <v>143</v>
      </c>
      <c r="T59" s="89" t="s">
        <v>142</v>
      </c>
      <c r="U59" s="89" t="s">
        <v>380</v>
      </c>
      <c r="AG59" s="89" t="s">
        <v>176</v>
      </c>
      <c r="AH59" s="114" t="s">
        <v>177</v>
      </c>
      <c r="AK59" s="84" t="s">
        <v>1291</v>
      </c>
      <c r="AL59" s="113" t="s">
        <v>311</v>
      </c>
      <c r="AM59" s="89" t="s">
        <v>144</v>
      </c>
      <c r="AN59" s="89" t="s">
        <v>144</v>
      </c>
      <c r="AO59" s="12" t="s">
        <v>141</v>
      </c>
      <c r="AP59" s="89" t="s">
        <v>141</v>
      </c>
      <c r="AQ59" s="12" t="s">
        <v>0</v>
      </c>
      <c r="AR59" s="89" t="s">
        <v>38</v>
      </c>
      <c r="AS59" s="12" t="s">
        <v>142</v>
      </c>
      <c r="AT59" s="89" t="s">
        <v>145</v>
      </c>
      <c r="AU59" s="12" t="s">
        <v>362</v>
      </c>
      <c r="AV59" s="12" t="s">
        <v>142</v>
      </c>
      <c r="AY59" s="32">
        <v>107.5</v>
      </c>
      <c r="BA59" s="4"/>
    </row>
    <row r="60" spans="1:53" s="115" customFormat="1" ht="12" customHeight="1" x14ac:dyDescent="0.15">
      <c r="A60" s="89" t="s">
        <v>95</v>
      </c>
      <c r="B60" s="111">
        <v>201072</v>
      </c>
      <c r="C60" s="208" t="s">
        <v>1475</v>
      </c>
      <c r="D60" s="199" t="s">
        <v>276</v>
      </c>
      <c r="E60" s="115" t="s">
        <v>140</v>
      </c>
      <c r="F60" s="115" t="s">
        <v>140</v>
      </c>
      <c r="G60" s="115" t="s">
        <v>141</v>
      </c>
      <c r="H60" s="115" t="s">
        <v>141</v>
      </c>
      <c r="I60" s="115" t="s">
        <v>12</v>
      </c>
      <c r="J60" s="115" t="s">
        <v>0</v>
      </c>
      <c r="K60" s="115" t="s">
        <v>38</v>
      </c>
      <c r="M60" s="12" t="s">
        <v>361</v>
      </c>
      <c r="N60" s="12" t="s">
        <v>146</v>
      </c>
      <c r="O60" s="115" t="s">
        <v>175</v>
      </c>
      <c r="Q60" s="115" t="s">
        <v>145</v>
      </c>
      <c r="R60" s="115" t="s">
        <v>142</v>
      </c>
      <c r="S60" s="115" t="s">
        <v>143</v>
      </c>
      <c r="T60" s="115" t="s">
        <v>142</v>
      </c>
      <c r="U60" s="89" t="s">
        <v>380</v>
      </c>
      <c r="AG60" s="115" t="s">
        <v>176</v>
      </c>
      <c r="AH60" s="115" t="s">
        <v>177</v>
      </c>
      <c r="AK60" s="84" t="s">
        <v>1292</v>
      </c>
      <c r="AL60" s="113" t="s">
        <v>422</v>
      </c>
      <c r="AM60" s="115" t="s">
        <v>144</v>
      </c>
      <c r="AN60" s="115" t="s">
        <v>144</v>
      </c>
      <c r="AO60" s="115" t="s">
        <v>141</v>
      </c>
      <c r="AP60" s="115" t="s">
        <v>141</v>
      </c>
      <c r="AQ60" s="115" t="s">
        <v>0</v>
      </c>
      <c r="AR60" s="115" t="s">
        <v>38</v>
      </c>
      <c r="AS60" s="115" t="s">
        <v>142</v>
      </c>
      <c r="AT60" s="115" t="s">
        <v>145</v>
      </c>
      <c r="AU60" s="12" t="s">
        <v>362</v>
      </c>
      <c r="AV60" s="115" t="s">
        <v>142</v>
      </c>
      <c r="AY60" s="32">
        <v>107.5</v>
      </c>
      <c r="BA60" s="4"/>
    </row>
    <row r="61" spans="1:53" s="115" customFormat="1" ht="12" customHeight="1" x14ac:dyDescent="0.15">
      <c r="A61" s="89" t="s">
        <v>49</v>
      </c>
      <c r="B61" s="111">
        <v>201043</v>
      </c>
      <c r="C61" s="208" t="s">
        <v>1476</v>
      </c>
      <c r="D61" s="199" t="s">
        <v>277</v>
      </c>
      <c r="E61" s="115" t="s">
        <v>140</v>
      </c>
      <c r="F61" s="115" t="s">
        <v>140</v>
      </c>
      <c r="G61" s="115" t="s">
        <v>141</v>
      </c>
      <c r="H61" s="115" t="s">
        <v>141</v>
      </c>
      <c r="I61" s="115" t="s">
        <v>12</v>
      </c>
      <c r="J61" s="115" t="s">
        <v>0</v>
      </c>
      <c r="K61" s="115" t="s">
        <v>38</v>
      </c>
      <c r="M61" s="12" t="s">
        <v>361</v>
      </c>
      <c r="N61" s="12" t="s">
        <v>146</v>
      </c>
      <c r="O61" s="115" t="s">
        <v>175</v>
      </c>
      <c r="Q61" s="115" t="s">
        <v>145</v>
      </c>
      <c r="R61" s="115" t="s">
        <v>142</v>
      </c>
      <c r="S61" s="115" t="s">
        <v>143</v>
      </c>
      <c r="T61" s="115" t="s">
        <v>142</v>
      </c>
      <c r="U61" s="89" t="s">
        <v>380</v>
      </c>
      <c r="AG61" s="115" t="s">
        <v>176</v>
      </c>
      <c r="AH61" s="115" t="s">
        <v>177</v>
      </c>
      <c r="AK61" s="84" t="s">
        <v>1293</v>
      </c>
      <c r="AL61" s="113" t="s">
        <v>403</v>
      </c>
      <c r="AM61" s="115" t="s">
        <v>144</v>
      </c>
      <c r="AN61" s="115" t="s">
        <v>144</v>
      </c>
      <c r="AO61" s="115" t="s">
        <v>141</v>
      </c>
      <c r="AP61" s="115" t="s">
        <v>141</v>
      </c>
      <c r="AQ61" s="115" t="s">
        <v>0</v>
      </c>
      <c r="AR61" s="115" t="s">
        <v>38</v>
      </c>
      <c r="AS61" s="115" t="s">
        <v>142</v>
      </c>
      <c r="AT61" s="115" t="s">
        <v>145</v>
      </c>
      <c r="AU61" s="12" t="s">
        <v>362</v>
      </c>
      <c r="AV61" s="115" t="s">
        <v>142</v>
      </c>
      <c r="AY61" s="32">
        <v>107.5</v>
      </c>
      <c r="BA61" s="4"/>
    </row>
    <row r="62" spans="1:53" s="89" customFormat="1" ht="12" customHeight="1" x14ac:dyDescent="0.15">
      <c r="A62" s="89" t="s">
        <v>96</v>
      </c>
      <c r="B62" s="111">
        <v>201052</v>
      </c>
      <c r="C62" s="208" t="s">
        <v>1477</v>
      </c>
      <c r="D62" s="199" t="s">
        <v>233</v>
      </c>
      <c r="E62" s="89" t="s">
        <v>140</v>
      </c>
      <c r="F62" s="12" t="s">
        <v>140</v>
      </c>
      <c r="G62" s="12" t="s">
        <v>141</v>
      </c>
      <c r="H62" s="89" t="s">
        <v>141</v>
      </c>
      <c r="I62" s="12" t="s">
        <v>12</v>
      </c>
      <c r="J62" s="12" t="s">
        <v>0</v>
      </c>
      <c r="K62" s="12" t="s">
        <v>38</v>
      </c>
      <c r="L62" s="12"/>
      <c r="M62" s="12" t="s">
        <v>361</v>
      </c>
      <c r="N62" s="12" t="s">
        <v>146</v>
      </c>
      <c r="O62" s="89" t="s">
        <v>175</v>
      </c>
      <c r="Q62" s="89" t="s">
        <v>145</v>
      </c>
      <c r="R62" s="89" t="s">
        <v>142</v>
      </c>
      <c r="S62" s="89" t="s">
        <v>143</v>
      </c>
      <c r="T62" s="89" t="s">
        <v>142</v>
      </c>
      <c r="U62" s="89" t="s">
        <v>380</v>
      </c>
      <c r="AG62" s="89" t="s">
        <v>176</v>
      </c>
      <c r="AH62" s="114" t="s">
        <v>177</v>
      </c>
      <c r="AK62" s="84" t="s">
        <v>1294</v>
      </c>
      <c r="AL62" s="113" t="s">
        <v>421</v>
      </c>
      <c r="AM62" s="89" t="s">
        <v>144</v>
      </c>
      <c r="AN62" s="89" t="s">
        <v>144</v>
      </c>
      <c r="AO62" s="12" t="s">
        <v>141</v>
      </c>
      <c r="AP62" s="89" t="s">
        <v>141</v>
      </c>
      <c r="AQ62" s="12" t="s">
        <v>0</v>
      </c>
      <c r="AR62" s="89" t="s">
        <v>38</v>
      </c>
      <c r="AS62" s="12" t="s">
        <v>142</v>
      </c>
      <c r="AT62" s="89" t="s">
        <v>145</v>
      </c>
      <c r="AU62" s="12" t="s">
        <v>362</v>
      </c>
      <c r="AV62" s="12" t="s">
        <v>142</v>
      </c>
      <c r="AY62" s="32">
        <v>107.5</v>
      </c>
      <c r="BA62" s="4"/>
    </row>
    <row r="63" spans="1:53" s="89" customFormat="1" ht="12" customHeight="1" x14ac:dyDescent="0.15">
      <c r="A63" s="89" t="s">
        <v>97</v>
      </c>
      <c r="B63" s="111">
        <v>200991</v>
      </c>
      <c r="C63" s="208" t="s">
        <v>1478</v>
      </c>
      <c r="D63" s="199" t="s">
        <v>234</v>
      </c>
      <c r="E63" s="89" t="s">
        <v>140</v>
      </c>
      <c r="F63" s="12" t="s">
        <v>140</v>
      </c>
      <c r="G63" s="12" t="s">
        <v>141</v>
      </c>
      <c r="H63" s="89" t="s">
        <v>141</v>
      </c>
      <c r="I63" s="12" t="s">
        <v>12</v>
      </c>
      <c r="J63" s="12" t="s">
        <v>0</v>
      </c>
      <c r="K63" s="12" t="s">
        <v>38</v>
      </c>
      <c r="L63" s="12"/>
      <c r="M63" s="12" t="s">
        <v>361</v>
      </c>
      <c r="N63" s="12" t="s">
        <v>146</v>
      </c>
      <c r="O63" s="89" t="s">
        <v>175</v>
      </c>
      <c r="Q63" s="89" t="s">
        <v>145</v>
      </c>
      <c r="R63" s="89" t="s">
        <v>142</v>
      </c>
      <c r="S63" s="89" t="s">
        <v>143</v>
      </c>
      <c r="T63" s="89" t="s">
        <v>142</v>
      </c>
      <c r="U63" s="89" t="s">
        <v>380</v>
      </c>
      <c r="AG63" s="89" t="s">
        <v>176</v>
      </c>
      <c r="AH63" s="114" t="s">
        <v>177</v>
      </c>
      <c r="AK63" s="84" t="s">
        <v>1295</v>
      </c>
      <c r="AL63" s="113" t="s">
        <v>312</v>
      </c>
      <c r="AM63" s="89" t="s">
        <v>144</v>
      </c>
      <c r="AN63" s="89" t="s">
        <v>144</v>
      </c>
      <c r="AO63" s="12" t="s">
        <v>141</v>
      </c>
      <c r="AP63" s="89" t="s">
        <v>141</v>
      </c>
      <c r="AQ63" s="12" t="s">
        <v>0</v>
      </c>
      <c r="AR63" s="89" t="s">
        <v>38</v>
      </c>
      <c r="AS63" s="12" t="s">
        <v>142</v>
      </c>
      <c r="AT63" s="89" t="s">
        <v>145</v>
      </c>
      <c r="AU63" s="12" t="s">
        <v>362</v>
      </c>
      <c r="AV63" s="12" t="s">
        <v>142</v>
      </c>
      <c r="AY63" s="32">
        <v>107.5</v>
      </c>
      <c r="BA63" s="4"/>
    </row>
    <row r="64" spans="1:53" s="89" customFormat="1" ht="12" customHeight="1" x14ac:dyDescent="0.15">
      <c r="A64" s="89" t="s">
        <v>98</v>
      </c>
      <c r="B64" s="111">
        <v>200989</v>
      </c>
      <c r="C64" s="208" t="s">
        <v>1479</v>
      </c>
      <c r="D64" s="199" t="s">
        <v>235</v>
      </c>
      <c r="E64" s="89" t="s">
        <v>140</v>
      </c>
      <c r="F64" s="12" t="s">
        <v>140</v>
      </c>
      <c r="G64" s="12" t="s">
        <v>141</v>
      </c>
      <c r="H64" s="89" t="s">
        <v>141</v>
      </c>
      <c r="I64" s="12" t="s">
        <v>12</v>
      </c>
      <c r="J64" s="12" t="s">
        <v>0</v>
      </c>
      <c r="K64" s="12" t="s">
        <v>38</v>
      </c>
      <c r="L64" s="12"/>
      <c r="M64" s="12" t="s">
        <v>361</v>
      </c>
      <c r="N64" s="12" t="s">
        <v>146</v>
      </c>
      <c r="O64" s="89" t="s">
        <v>175</v>
      </c>
      <c r="Q64" s="89" t="s">
        <v>145</v>
      </c>
      <c r="R64" s="89" t="s">
        <v>142</v>
      </c>
      <c r="S64" s="89" t="s">
        <v>143</v>
      </c>
      <c r="T64" s="89" t="s">
        <v>142</v>
      </c>
      <c r="U64" s="89" t="s">
        <v>380</v>
      </c>
      <c r="AG64" s="89" t="s">
        <v>176</v>
      </c>
      <c r="AH64" s="114" t="s">
        <v>177</v>
      </c>
      <c r="AK64" s="84" t="s">
        <v>1296</v>
      </c>
      <c r="AL64" s="113" t="s">
        <v>408</v>
      </c>
      <c r="AM64" s="89" t="s">
        <v>144</v>
      </c>
      <c r="AN64" s="89" t="s">
        <v>144</v>
      </c>
      <c r="AO64" s="12" t="s">
        <v>141</v>
      </c>
      <c r="AP64" s="89" t="s">
        <v>141</v>
      </c>
      <c r="AQ64" s="12" t="s">
        <v>0</v>
      </c>
      <c r="AR64" s="89" t="s">
        <v>38</v>
      </c>
      <c r="AS64" s="12" t="s">
        <v>142</v>
      </c>
      <c r="AT64" s="89" t="s">
        <v>145</v>
      </c>
      <c r="AU64" s="12" t="s">
        <v>362</v>
      </c>
      <c r="AV64" s="12" t="s">
        <v>142</v>
      </c>
      <c r="AY64" s="32">
        <v>107.5</v>
      </c>
      <c r="BA64" s="4"/>
    </row>
    <row r="65" spans="1:53" s="89" customFormat="1" ht="12" customHeight="1" x14ac:dyDescent="0.15">
      <c r="A65" s="89" t="s">
        <v>99</v>
      </c>
      <c r="B65" s="111">
        <v>201112</v>
      </c>
      <c r="C65" s="208" t="s">
        <v>1480</v>
      </c>
      <c r="D65" s="199" t="s">
        <v>236</v>
      </c>
      <c r="E65" s="89" t="s">
        <v>140</v>
      </c>
      <c r="F65" s="12" t="s">
        <v>140</v>
      </c>
      <c r="G65" s="12" t="s">
        <v>141</v>
      </c>
      <c r="H65" s="89" t="s">
        <v>141</v>
      </c>
      <c r="I65" s="12" t="s">
        <v>12</v>
      </c>
      <c r="J65" s="12" t="s">
        <v>0</v>
      </c>
      <c r="K65" s="12" t="s">
        <v>38</v>
      </c>
      <c r="L65" s="12"/>
      <c r="M65" s="12" t="s">
        <v>361</v>
      </c>
      <c r="N65" s="12" t="s">
        <v>146</v>
      </c>
      <c r="O65" s="89" t="s">
        <v>175</v>
      </c>
      <c r="Q65" s="89" t="s">
        <v>145</v>
      </c>
      <c r="R65" s="89" t="s">
        <v>142</v>
      </c>
      <c r="S65" s="89" t="s">
        <v>143</v>
      </c>
      <c r="T65" s="89" t="s">
        <v>142</v>
      </c>
      <c r="U65" s="89" t="s">
        <v>380</v>
      </c>
      <c r="AG65" s="89" t="s">
        <v>176</v>
      </c>
      <c r="AH65" s="114" t="s">
        <v>177</v>
      </c>
      <c r="AK65" s="84" t="s">
        <v>1297</v>
      </c>
      <c r="AL65" s="113" t="s">
        <v>313</v>
      </c>
      <c r="AM65" s="89" t="s">
        <v>144</v>
      </c>
      <c r="AN65" s="89" t="s">
        <v>144</v>
      </c>
      <c r="AO65" s="12" t="s">
        <v>141</v>
      </c>
      <c r="AP65" s="89" t="s">
        <v>141</v>
      </c>
      <c r="AQ65" s="12" t="s">
        <v>0</v>
      </c>
      <c r="AR65" s="89" t="s">
        <v>38</v>
      </c>
      <c r="AS65" s="12" t="s">
        <v>142</v>
      </c>
      <c r="AT65" s="89" t="s">
        <v>145</v>
      </c>
      <c r="AU65" s="12" t="s">
        <v>362</v>
      </c>
      <c r="AV65" s="12" t="s">
        <v>142</v>
      </c>
      <c r="AY65" s="32">
        <v>107.5</v>
      </c>
      <c r="BA65" s="4"/>
    </row>
    <row r="66" spans="1:53" s="89" customFormat="1" ht="12" customHeight="1" x14ac:dyDescent="0.15">
      <c r="A66" s="89" t="s">
        <v>100</v>
      </c>
      <c r="B66" s="111">
        <v>201111</v>
      </c>
      <c r="C66" s="208" t="s">
        <v>1481</v>
      </c>
      <c r="D66" s="199" t="s">
        <v>237</v>
      </c>
      <c r="E66" s="89" t="s">
        <v>140</v>
      </c>
      <c r="F66" s="12" t="s">
        <v>140</v>
      </c>
      <c r="G66" s="12" t="s">
        <v>141</v>
      </c>
      <c r="H66" s="89" t="s">
        <v>141</v>
      </c>
      <c r="I66" s="12" t="s">
        <v>12</v>
      </c>
      <c r="J66" s="12" t="s">
        <v>0</v>
      </c>
      <c r="K66" s="12" t="s">
        <v>38</v>
      </c>
      <c r="L66" s="12"/>
      <c r="M66" s="12" t="s">
        <v>361</v>
      </c>
      <c r="N66" s="12" t="s">
        <v>146</v>
      </c>
      <c r="O66" s="89" t="s">
        <v>175</v>
      </c>
      <c r="Q66" s="89" t="s">
        <v>145</v>
      </c>
      <c r="R66" s="89" t="s">
        <v>142</v>
      </c>
      <c r="S66" s="89" t="s">
        <v>143</v>
      </c>
      <c r="T66" s="89" t="s">
        <v>142</v>
      </c>
      <c r="U66" s="89" t="s">
        <v>380</v>
      </c>
      <c r="AG66" s="89" t="s">
        <v>176</v>
      </c>
      <c r="AH66" s="114" t="s">
        <v>177</v>
      </c>
      <c r="AK66" s="84" t="s">
        <v>1298</v>
      </c>
      <c r="AL66" s="113" t="s">
        <v>377</v>
      </c>
      <c r="AM66" s="89" t="s">
        <v>144</v>
      </c>
      <c r="AN66" s="89" t="s">
        <v>144</v>
      </c>
      <c r="AO66" s="12" t="s">
        <v>141</v>
      </c>
      <c r="AP66" s="89" t="s">
        <v>141</v>
      </c>
      <c r="AQ66" s="12" t="s">
        <v>0</v>
      </c>
      <c r="AR66" s="89" t="s">
        <v>38</v>
      </c>
      <c r="AS66" s="12" t="s">
        <v>142</v>
      </c>
      <c r="AT66" s="89" t="s">
        <v>145</v>
      </c>
      <c r="AU66" s="12" t="s">
        <v>362</v>
      </c>
      <c r="AV66" s="12" t="s">
        <v>142</v>
      </c>
      <c r="AY66" s="32">
        <v>107.5</v>
      </c>
      <c r="BA66" s="4"/>
    </row>
    <row r="67" spans="1:53" s="89" customFormat="1" ht="12" customHeight="1" x14ac:dyDescent="0.15">
      <c r="A67" s="89" t="s">
        <v>101</v>
      </c>
      <c r="B67" s="111">
        <v>201068</v>
      </c>
      <c r="C67" s="208" t="s">
        <v>1482</v>
      </c>
      <c r="D67" s="199" t="s">
        <v>238</v>
      </c>
      <c r="E67" s="89" t="s">
        <v>140</v>
      </c>
      <c r="F67" s="12" t="s">
        <v>140</v>
      </c>
      <c r="G67" s="12" t="s">
        <v>141</v>
      </c>
      <c r="H67" s="89" t="s">
        <v>141</v>
      </c>
      <c r="I67" s="12" t="s">
        <v>12</v>
      </c>
      <c r="J67" s="12" t="s">
        <v>0</v>
      </c>
      <c r="K67" s="12" t="s">
        <v>38</v>
      </c>
      <c r="L67" s="12"/>
      <c r="M67" s="12" t="s">
        <v>361</v>
      </c>
      <c r="N67" s="12" t="s">
        <v>146</v>
      </c>
      <c r="O67" s="89" t="s">
        <v>175</v>
      </c>
      <c r="Q67" s="89" t="s">
        <v>145</v>
      </c>
      <c r="R67" s="89" t="s">
        <v>142</v>
      </c>
      <c r="S67" s="89" t="s">
        <v>143</v>
      </c>
      <c r="T67" s="89" t="s">
        <v>142</v>
      </c>
      <c r="U67" s="89" t="s">
        <v>380</v>
      </c>
      <c r="AG67" s="89" t="s">
        <v>176</v>
      </c>
      <c r="AH67" s="114" t="s">
        <v>177</v>
      </c>
      <c r="AK67" s="84" t="s">
        <v>1299</v>
      </c>
      <c r="AL67" s="113" t="s">
        <v>314</v>
      </c>
      <c r="AM67" s="89" t="s">
        <v>144</v>
      </c>
      <c r="AN67" s="89" t="s">
        <v>144</v>
      </c>
      <c r="AO67" s="12" t="s">
        <v>141</v>
      </c>
      <c r="AP67" s="89" t="s">
        <v>141</v>
      </c>
      <c r="AQ67" s="12" t="s">
        <v>0</v>
      </c>
      <c r="AR67" s="89" t="s">
        <v>38</v>
      </c>
      <c r="AS67" s="12" t="s">
        <v>142</v>
      </c>
      <c r="AT67" s="89" t="s">
        <v>145</v>
      </c>
      <c r="AU67" s="12" t="s">
        <v>362</v>
      </c>
      <c r="AV67" s="12" t="s">
        <v>142</v>
      </c>
      <c r="AY67" s="32">
        <v>107.5</v>
      </c>
      <c r="BA67" s="4"/>
    </row>
    <row r="68" spans="1:53" s="89" customFormat="1" ht="12" customHeight="1" x14ac:dyDescent="0.15">
      <c r="A68" s="89" t="s">
        <v>102</v>
      </c>
      <c r="B68" s="111">
        <v>201125</v>
      </c>
      <c r="C68" s="208" t="s">
        <v>1483</v>
      </c>
      <c r="D68" s="199" t="s">
        <v>239</v>
      </c>
      <c r="E68" s="89" t="s">
        <v>140</v>
      </c>
      <c r="F68" s="12" t="s">
        <v>140</v>
      </c>
      <c r="G68" s="12" t="s">
        <v>141</v>
      </c>
      <c r="H68" s="89" t="s">
        <v>141</v>
      </c>
      <c r="I68" s="12" t="s">
        <v>12</v>
      </c>
      <c r="J68" s="12" t="s">
        <v>0</v>
      </c>
      <c r="K68" s="12" t="s">
        <v>38</v>
      </c>
      <c r="L68" s="12"/>
      <c r="M68" s="12" t="s">
        <v>361</v>
      </c>
      <c r="N68" s="12" t="s">
        <v>146</v>
      </c>
      <c r="O68" s="89" t="s">
        <v>175</v>
      </c>
      <c r="Q68" s="89" t="s">
        <v>145</v>
      </c>
      <c r="R68" s="89" t="s">
        <v>142</v>
      </c>
      <c r="S68" s="89" t="s">
        <v>143</v>
      </c>
      <c r="T68" s="89" t="s">
        <v>142</v>
      </c>
      <c r="U68" s="89" t="s">
        <v>380</v>
      </c>
      <c r="AG68" s="89" t="s">
        <v>176</v>
      </c>
      <c r="AH68" s="114" t="s">
        <v>177</v>
      </c>
      <c r="AK68" s="84" t="s">
        <v>1300</v>
      </c>
      <c r="AL68" s="113" t="s">
        <v>895</v>
      </c>
      <c r="AM68" s="89" t="s">
        <v>144</v>
      </c>
      <c r="AN68" s="89" t="s">
        <v>144</v>
      </c>
      <c r="AO68" s="12" t="s">
        <v>141</v>
      </c>
      <c r="AP68" s="89" t="s">
        <v>141</v>
      </c>
      <c r="AQ68" s="12" t="s">
        <v>0</v>
      </c>
      <c r="AR68" s="89" t="s">
        <v>38</v>
      </c>
      <c r="AS68" s="12" t="s">
        <v>142</v>
      </c>
      <c r="AT68" s="89" t="s">
        <v>145</v>
      </c>
      <c r="AU68" s="12" t="s">
        <v>362</v>
      </c>
      <c r="AV68" s="12" t="s">
        <v>142</v>
      </c>
      <c r="AY68" s="32">
        <v>107.5</v>
      </c>
      <c r="BA68" s="4"/>
    </row>
    <row r="69" spans="1:53" s="89" customFormat="1" ht="12" customHeight="1" x14ac:dyDescent="0.15">
      <c r="A69" s="89" t="s">
        <v>103</v>
      </c>
      <c r="B69" s="111">
        <v>201121</v>
      </c>
      <c r="C69" s="208" t="s">
        <v>1484</v>
      </c>
      <c r="D69" s="199" t="s">
        <v>240</v>
      </c>
      <c r="E69" s="89" t="s">
        <v>140</v>
      </c>
      <c r="F69" s="12" t="s">
        <v>140</v>
      </c>
      <c r="G69" s="12" t="s">
        <v>141</v>
      </c>
      <c r="H69" s="89" t="s">
        <v>141</v>
      </c>
      <c r="I69" s="12" t="s">
        <v>12</v>
      </c>
      <c r="J69" s="12" t="s">
        <v>0</v>
      </c>
      <c r="K69" s="12" t="s">
        <v>38</v>
      </c>
      <c r="L69" s="12"/>
      <c r="M69" s="12" t="s">
        <v>361</v>
      </c>
      <c r="N69" s="12" t="s">
        <v>146</v>
      </c>
      <c r="O69" s="89" t="s">
        <v>175</v>
      </c>
      <c r="Q69" s="89" t="s">
        <v>145</v>
      </c>
      <c r="R69" s="89" t="s">
        <v>142</v>
      </c>
      <c r="S69" s="89" t="s">
        <v>143</v>
      </c>
      <c r="T69" s="89" t="s">
        <v>142</v>
      </c>
      <c r="U69" s="89" t="s">
        <v>380</v>
      </c>
      <c r="AG69" s="89" t="s">
        <v>176</v>
      </c>
      <c r="AH69" s="114" t="s">
        <v>177</v>
      </c>
      <c r="AK69" s="84" t="s">
        <v>1301</v>
      </c>
      <c r="AL69" s="113" t="s">
        <v>315</v>
      </c>
      <c r="AM69" s="89" t="s">
        <v>144</v>
      </c>
      <c r="AN69" s="89" t="s">
        <v>144</v>
      </c>
      <c r="AO69" s="12" t="s">
        <v>141</v>
      </c>
      <c r="AP69" s="89" t="s">
        <v>141</v>
      </c>
      <c r="AQ69" s="12" t="s">
        <v>0</v>
      </c>
      <c r="AR69" s="89" t="s">
        <v>38</v>
      </c>
      <c r="AS69" s="12" t="s">
        <v>142</v>
      </c>
      <c r="AT69" s="89" t="s">
        <v>145</v>
      </c>
      <c r="AU69" s="12" t="s">
        <v>362</v>
      </c>
      <c r="AV69" s="12" t="s">
        <v>142</v>
      </c>
      <c r="AY69" s="32">
        <v>107.5</v>
      </c>
      <c r="BA69" s="4"/>
    </row>
    <row r="70" spans="1:53" s="89" customFormat="1" ht="12" customHeight="1" x14ac:dyDescent="0.15">
      <c r="A70" s="89" t="s">
        <v>104</v>
      </c>
      <c r="B70" s="111">
        <v>201119</v>
      </c>
      <c r="C70" s="208" t="s">
        <v>1485</v>
      </c>
      <c r="D70" s="199" t="s">
        <v>241</v>
      </c>
      <c r="E70" s="89" t="s">
        <v>140</v>
      </c>
      <c r="F70" s="12" t="s">
        <v>140</v>
      </c>
      <c r="G70" s="12" t="s">
        <v>141</v>
      </c>
      <c r="H70" s="89" t="s">
        <v>141</v>
      </c>
      <c r="I70" s="12" t="s">
        <v>12</v>
      </c>
      <c r="J70" s="12" t="s">
        <v>0</v>
      </c>
      <c r="K70" s="12" t="s">
        <v>38</v>
      </c>
      <c r="L70" s="12"/>
      <c r="M70" s="12" t="s">
        <v>361</v>
      </c>
      <c r="N70" s="12" t="s">
        <v>146</v>
      </c>
      <c r="O70" s="89" t="s">
        <v>175</v>
      </c>
      <c r="Q70" s="89" t="s">
        <v>145</v>
      </c>
      <c r="R70" s="89" t="s">
        <v>142</v>
      </c>
      <c r="S70" s="89" t="s">
        <v>143</v>
      </c>
      <c r="T70" s="89" t="s">
        <v>142</v>
      </c>
      <c r="U70" s="89" t="s">
        <v>380</v>
      </c>
      <c r="AG70" s="89" t="s">
        <v>176</v>
      </c>
      <c r="AH70" s="114" t="s">
        <v>177</v>
      </c>
      <c r="AK70" s="84" t="s">
        <v>1302</v>
      </c>
      <c r="AL70" s="113" t="s">
        <v>316</v>
      </c>
      <c r="AM70" s="89" t="s">
        <v>144</v>
      </c>
      <c r="AN70" s="89" t="s">
        <v>144</v>
      </c>
      <c r="AO70" s="12" t="s">
        <v>141</v>
      </c>
      <c r="AP70" s="89" t="s">
        <v>141</v>
      </c>
      <c r="AQ70" s="12" t="s">
        <v>0</v>
      </c>
      <c r="AR70" s="89" t="s">
        <v>38</v>
      </c>
      <c r="AS70" s="12" t="s">
        <v>142</v>
      </c>
      <c r="AT70" s="89" t="s">
        <v>145</v>
      </c>
      <c r="AU70" s="12" t="s">
        <v>362</v>
      </c>
      <c r="AV70" s="12" t="s">
        <v>142</v>
      </c>
      <c r="AY70" s="32">
        <v>107.5</v>
      </c>
      <c r="BA70" s="4"/>
    </row>
    <row r="71" spans="1:53" s="89" customFormat="1" ht="12" customHeight="1" x14ac:dyDescent="0.15">
      <c r="A71" s="89" t="s">
        <v>105</v>
      </c>
      <c r="B71" s="111">
        <v>201045</v>
      </c>
      <c r="C71" s="208" t="s">
        <v>1573</v>
      </c>
      <c r="D71" s="199" t="s">
        <v>1221</v>
      </c>
      <c r="E71" s="89" t="s">
        <v>140</v>
      </c>
      <c r="F71" s="12" t="s">
        <v>140</v>
      </c>
      <c r="G71" s="12" t="s">
        <v>141</v>
      </c>
      <c r="H71" s="89" t="s">
        <v>141</v>
      </c>
      <c r="I71" s="12" t="s">
        <v>12</v>
      </c>
      <c r="J71" s="12" t="s">
        <v>0</v>
      </c>
      <c r="K71" s="12" t="s">
        <v>38</v>
      </c>
      <c r="L71" s="12"/>
      <c r="M71" s="12" t="s">
        <v>361</v>
      </c>
      <c r="N71" s="12" t="s">
        <v>146</v>
      </c>
      <c r="O71" s="89" t="s">
        <v>175</v>
      </c>
      <c r="Q71" s="89" t="s">
        <v>145</v>
      </c>
      <c r="R71" s="89" t="s">
        <v>142</v>
      </c>
      <c r="S71" s="89" t="s">
        <v>143</v>
      </c>
      <c r="T71" s="89" t="s">
        <v>142</v>
      </c>
      <c r="U71" s="89" t="s">
        <v>380</v>
      </c>
      <c r="AG71" s="89" t="s">
        <v>176</v>
      </c>
      <c r="AH71" s="114" t="s">
        <v>177</v>
      </c>
      <c r="AK71" s="84" t="s">
        <v>1303</v>
      </c>
      <c r="AL71" s="113" t="s">
        <v>393</v>
      </c>
      <c r="AM71" s="89" t="s">
        <v>144</v>
      </c>
      <c r="AN71" s="89" t="s">
        <v>144</v>
      </c>
      <c r="AO71" s="12" t="s">
        <v>141</v>
      </c>
      <c r="AP71" s="89" t="s">
        <v>141</v>
      </c>
      <c r="AQ71" s="12" t="s">
        <v>0</v>
      </c>
      <c r="AR71" s="89" t="s">
        <v>38</v>
      </c>
      <c r="AS71" s="12" t="s">
        <v>142</v>
      </c>
      <c r="AT71" s="89" t="s">
        <v>145</v>
      </c>
      <c r="AU71" s="12" t="s">
        <v>362</v>
      </c>
      <c r="AV71" s="12" t="s">
        <v>142</v>
      </c>
      <c r="AY71" s="32">
        <v>107.5</v>
      </c>
      <c r="BA71" s="4"/>
    </row>
    <row r="72" spans="1:53" s="89" customFormat="1" ht="12" customHeight="1" x14ac:dyDescent="0.15">
      <c r="A72" s="89" t="s">
        <v>106</v>
      </c>
      <c r="B72" s="111">
        <v>201131</v>
      </c>
      <c r="C72" s="208" t="s">
        <v>1486</v>
      </c>
      <c r="D72" s="199" t="s">
        <v>242</v>
      </c>
      <c r="E72" s="89" t="s">
        <v>140</v>
      </c>
      <c r="F72" s="12" t="s">
        <v>140</v>
      </c>
      <c r="G72" s="12" t="s">
        <v>141</v>
      </c>
      <c r="H72" s="89" t="s">
        <v>141</v>
      </c>
      <c r="I72" s="12" t="s">
        <v>12</v>
      </c>
      <c r="J72" s="12" t="s">
        <v>0</v>
      </c>
      <c r="K72" s="12" t="s">
        <v>38</v>
      </c>
      <c r="L72" s="12"/>
      <c r="M72" s="12" t="s">
        <v>361</v>
      </c>
      <c r="N72" s="12" t="s">
        <v>146</v>
      </c>
      <c r="O72" s="89" t="s">
        <v>175</v>
      </c>
      <c r="Q72" s="89" t="s">
        <v>145</v>
      </c>
      <c r="R72" s="89" t="s">
        <v>142</v>
      </c>
      <c r="S72" s="89" t="s">
        <v>143</v>
      </c>
      <c r="T72" s="89" t="s">
        <v>142</v>
      </c>
      <c r="U72" s="89" t="s">
        <v>380</v>
      </c>
      <c r="AG72" s="89" t="s">
        <v>176</v>
      </c>
      <c r="AH72" s="114" t="s">
        <v>177</v>
      </c>
      <c r="AK72" s="84" t="s">
        <v>1304</v>
      </c>
      <c r="AL72" s="113" t="s">
        <v>394</v>
      </c>
      <c r="AM72" s="89" t="s">
        <v>144</v>
      </c>
      <c r="AN72" s="89" t="s">
        <v>144</v>
      </c>
      <c r="AO72" s="12" t="s">
        <v>141</v>
      </c>
      <c r="AP72" s="89" t="s">
        <v>141</v>
      </c>
      <c r="AQ72" s="12" t="s">
        <v>0</v>
      </c>
      <c r="AR72" s="89" t="s">
        <v>38</v>
      </c>
      <c r="AS72" s="12" t="s">
        <v>142</v>
      </c>
      <c r="AT72" s="89" t="s">
        <v>145</v>
      </c>
      <c r="AU72" s="12" t="s">
        <v>362</v>
      </c>
      <c r="AV72" s="12" t="s">
        <v>142</v>
      </c>
      <c r="AY72" s="32">
        <v>107.5</v>
      </c>
      <c r="BA72" s="4"/>
    </row>
    <row r="73" spans="1:53" s="89" customFormat="1" ht="12" customHeight="1" x14ac:dyDescent="0.15">
      <c r="A73" s="89" t="s">
        <v>107</v>
      </c>
      <c r="B73" s="111">
        <v>201118</v>
      </c>
      <c r="C73" s="208" t="s">
        <v>1487</v>
      </c>
      <c r="D73" s="199" t="s">
        <v>243</v>
      </c>
      <c r="E73" s="89" t="s">
        <v>140</v>
      </c>
      <c r="F73" s="12" t="s">
        <v>140</v>
      </c>
      <c r="G73" s="12" t="s">
        <v>141</v>
      </c>
      <c r="H73" s="89" t="s">
        <v>141</v>
      </c>
      <c r="I73" s="12" t="s">
        <v>12</v>
      </c>
      <c r="J73" s="12" t="s">
        <v>0</v>
      </c>
      <c r="K73" s="12" t="s">
        <v>38</v>
      </c>
      <c r="L73" s="12"/>
      <c r="M73" s="12" t="s">
        <v>361</v>
      </c>
      <c r="N73" s="12" t="s">
        <v>146</v>
      </c>
      <c r="O73" s="89" t="s">
        <v>175</v>
      </c>
      <c r="Q73" s="89" t="s">
        <v>145</v>
      </c>
      <c r="R73" s="89" t="s">
        <v>142</v>
      </c>
      <c r="S73" s="89" t="s">
        <v>143</v>
      </c>
      <c r="T73" s="89" t="s">
        <v>142</v>
      </c>
      <c r="U73" s="89" t="s">
        <v>380</v>
      </c>
      <c r="AG73" s="89" t="s">
        <v>176</v>
      </c>
      <c r="AH73" s="114" t="s">
        <v>177</v>
      </c>
      <c r="AK73" s="84" t="s">
        <v>1305</v>
      </c>
      <c r="AL73" s="113" t="s">
        <v>317</v>
      </c>
      <c r="AM73" s="89" t="s">
        <v>144</v>
      </c>
      <c r="AN73" s="89" t="s">
        <v>144</v>
      </c>
      <c r="AO73" s="12" t="s">
        <v>141</v>
      </c>
      <c r="AP73" s="89" t="s">
        <v>141</v>
      </c>
      <c r="AQ73" s="12" t="s">
        <v>0</v>
      </c>
      <c r="AR73" s="89" t="s">
        <v>38</v>
      </c>
      <c r="AS73" s="12" t="s">
        <v>142</v>
      </c>
      <c r="AT73" s="89" t="s">
        <v>145</v>
      </c>
      <c r="AU73" s="12" t="s">
        <v>362</v>
      </c>
      <c r="AV73" s="12" t="s">
        <v>142</v>
      </c>
      <c r="AY73" s="32">
        <v>107.5</v>
      </c>
      <c r="BA73" s="4"/>
    </row>
    <row r="74" spans="1:53" s="115" customFormat="1" ht="12" customHeight="1" x14ac:dyDescent="0.15">
      <c r="A74" s="89" t="s">
        <v>108</v>
      </c>
      <c r="B74" s="111">
        <v>201091</v>
      </c>
      <c r="C74" s="208" t="s">
        <v>1488</v>
      </c>
      <c r="D74" s="199" t="s">
        <v>278</v>
      </c>
      <c r="E74" s="115" t="s">
        <v>140</v>
      </c>
      <c r="F74" s="115" t="s">
        <v>140</v>
      </c>
      <c r="G74" s="115" t="s">
        <v>141</v>
      </c>
      <c r="H74" s="115" t="s">
        <v>141</v>
      </c>
      <c r="I74" s="115" t="s">
        <v>12</v>
      </c>
      <c r="J74" s="115" t="s">
        <v>0</v>
      </c>
      <c r="K74" s="115" t="s">
        <v>38</v>
      </c>
      <c r="M74" s="12" t="s">
        <v>361</v>
      </c>
      <c r="N74" s="12" t="s">
        <v>146</v>
      </c>
      <c r="O74" s="115" t="s">
        <v>175</v>
      </c>
      <c r="Q74" s="115" t="s">
        <v>145</v>
      </c>
      <c r="R74" s="115" t="s">
        <v>142</v>
      </c>
      <c r="S74" s="115" t="s">
        <v>143</v>
      </c>
      <c r="T74" s="115" t="s">
        <v>142</v>
      </c>
      <c r="U74" s="89" t="s">
        <v>380</v>
      </c>
      <c r="AG74" s="115" t="s">
        <v>176</v>
      </c>
      <c r="AH74" s="115" t="s">
        <v>177</v>
      </c>
      <c r="AK74" s="84" t="s">
        <v>1306</v>
      </c>
      <c r="AL74" s="113" t="s">
        <v>318</v>
      </c>
      <c r="AM74" s="115" t="s">
        <v>144</v>
      </c>
      <c r="AN74" s="115" t="s">
        <v>144</v>
      </c>
      <c r="AO74" s="115" t="s">
        <v>141</v>
      </c>
      <c r="AP74" s="115" t="s">
        <v>141</v>
      </c>
      <c r="AQ74" s="115" t="s">
        <v>0</v>
      </c>
      <c r="AR74" s="115" t="s">
        <v>38</v>
      </c>
      <c r="AS74" s="115" t="s">
        <v>142</v>
      </c>
      <c r="AT74" s="115" t="s">
        <v>145</v>
      </c>
      <c r="AU74" s="12" t="s">
        <v>362</v>
      </c>
      <c r="AV74" s="115" t="s">
        <v>142</v>
      </c>
      <c r="AY74" s="32">
        <v>107.5</v>
      </c>
      <c r="BA74" s="4"/>
    </row>
    <row r="75" spans="1:53" s="89" customFormat="1" ht="12" customHeight="1" x14ac:dyDescent="0.15">
      <c r="A75" s="89" t="s">
        <v>109</v>
      </c>
      <c r="B75" s="111">
        <v>201132</v>
      </c>
      <c r="C75" s="208" t="s">
        <v>1489</v>
      </c>
      <c r="D75" s="199" t="s">
        <v>244</v>
      </c>
      <c r="E75" s="89" t="s">
        <v>140</v>
      </c>
      <c r="F75" s="12" t="s">
        <v>140</v>
      </c>
      <c r="G75" s="12" t="s">
        <v>141</v>
      </c>
      <c r="H75" s="89" t="s">
        <v>141</v>
      </c>
      <c r="I75" s="12" t="s">
        <v>12</v>
      </c>
      <c r="J75" s="12" t="s">
        <v>0</v>
      </c>
      <c r="K75" s="12" t="s">
        <v>38</v>
      </c>
      <c r="L75" s="12"/>
      <c r="M75" s="12" t="s">
        <v>361</v>
      </c>
      <c r="N75" s="12" t="s">
        <v>180</v>
      </c>
      <c r="O75" s="89" t="s">
        <v>175</v>
      </c>
      <c r="Q75" s="89" t="s">
        <v>145</v>
      </c>
      <c r="R75" s="89" t="s">
        <v>142</v>
      </c>
      <c r="S75" s="89" t="s">
        <v>143</v>
      </c>
      <c r="T75" s="89" t="s">
        <v>142</v>
      </c>
      <c r="U75" s="89" t="s">
        <v>380</v>
      </c>
      <c r="AG75" s="89" t="s">
        <v>176</v>
      </c>
      <c r="AH75" s="114" t="s">
        <v>177</v>
      </c>
      <c r="AK75" s="84" t="s">
        <v>1364</v>
      </c>
      <c r="AL75" s="117" t="s">
        <v>389</v>
      </c>
      <c r="AM75" s="89" t="s">
        <v>144</v>
      </c>
      <c r="AN75" s="89" t="s">
        <v>144</v>
      </c>
      <c r="AO75" s="12" t="s">
        <v>141</v>
      </c>
      <c r="AP75" s="89" t="s">
        <v>141</v>
      </c>
      <c r="AQ75" s="12" t="s">
        <v>0</v>
      </c>
      <c r="AR75" s="89" t="s">
        <v>38</v>
      </c>
      <c r="AS75" s="12" t="s">
        <v>142</v>
      </c>
      <c r="AT75" s="89" t="s">
        <v>145</v>
      </c>
      <c r="AU75" s="12" t="s">
        <v>362</v>
      </c>
      <c r="AV75" s="12" t="s">
        <v>142</v>
      </c>
      <c r="AY75" s="32">
        <v>107.5</v>
      </c>
      <c r="BA75" s="4"/>
    </row>
    <row r="76" spans="1:53" s="89" customFormat="1" ht="12" customHeight="1" x14ac:dyDescent="0.15">
      <c r="A76" s="89" t="s">
        <v>110</v>
      </c>
      <c r="B76" s="111">
        <v>201116</v>
      </c>
      <c r="C76" s="208" t="s">
        <v>1490</v>
      </c>
      <c r="D76" s="199" t="s">
        <v>245</v>
      </c>
      <c r="E76" s="89" t="s">
        <v>140</v>
      </c>
      <c r="F76" s="12" t="s">
        <v>140</v>
      </c>
      <c r="G76" s="12" t="s">
        <v>141</v>
      </c>
      <c r="H76" s="89" t="s">
        <v>141</v>
      </c>
      <c r="I76" s="12" t="s">
        <v>12</v>
      </c>
      <c r="J76" s="12" t="s">
        <v>0</v>
      </c>
      <c r="K76" s="12" t="s">
        <v>38</v>
      </c>
      <c r="L76" s="12"/>
      <c r="M76" s="12" t="s">
        <v>361</v>
      </c>
      <c r="N76" s="12" t="s">
        <v>146</v>
      </c>
      <c r="O76" s="89" t="s">
        <v>175</v>
      </c>
      <c r="Q76" s="89" t="s">
        <v>145</v>
      </c>
      <c r="R76" s="89" t="s">
        <v>142</v>
      </c>
      <c r="S76" s="89" t="s">
        <v>143</v>
      </c>
      <c r="T76" s="89" t="s">
        <v>142</v>
      </c>
      <c r="U76" s="89" t="s">
        <v>380</v>
      </c>
      <c r="AG76" s="89" t="s">
        <v>176</v>
      </c>
      <c r="AH76" s="114" t="s">
        <v>177</v>
      </c>
      <c r="AK76" s="84" t="s">
        <v>1307</v>
      </c>
      <c r="AL76" s="113" t="s">
        <v>406</v>
      </c>
      <c r="AM76" s="89" t="s">
        <v>144</v>
      </c>
      <c r="AN76" s="89" t="s">
        <v>144</v>
      </c>
      <c r="AO76" s="12" t="s">
        <v>141</v>
      </c>
      <c r="AP76" s="89" t="s">
        <v>141</v>
      </c>
      <c r="AQ76" s="12" t="s">
        <v>0</v>
      </c>
      <c r="AR76" s="89" t="s">
        <v>38</v>
      </c>
      <c r="AS76" s="12" t="s">
        <v>142</v>
      </c>
      <c r="AT76" s="89" t="s">
        <v>145</v>
      </c>
      <c r="AU76" s="12" t="s">
        <v>362</v>
      </c>
      <c r="AV76" s="12" t="s">
        <v>142</v>
      </c>
      <c r="AY76" s="32">
        <v>107.5</v>
      </c>
      <c r="BA76" s="4"/>
    </row>
    <row r="77" spans="1:53" s="89" customFormat="1" ht="12" customHeight="1" x14ac:dyDescent="0.15">
      <c r="A77" s="89" t="s">
        <v>111</v>
      </c>
      <c r="B77" s="111">
        <v>201137</v>
      </c>
      <c r="C77" s="209" t="s">
        <v>1491</v>
      </c>
      <c r="D77" s="199" t="s">
        <v>932</v>
      </c>
      <c r="E77" s="89" t="s">
        <v>140</v>
      </c>
      <c r="F77" s="12" t="s">
        <v>140</v>
      </c>
      <c r="G77" s="12" t="s">
        <v>141</v>
      </c>
      <c r="H77" s="89" t="s">
        <v>141</v>
      </c>
      <c r="I77" s="12" t="s">
        <v>12</v>
      </c>
      <c r="J77" s="12" t="s">
        <v>0</v>
      </c>
      <c r="K77" s="12" t="s">
        <v>38</v>
      </c>
      <c r="L77" s="12"/>
      <c r="M77" s="12" t="s">
        <v>361</v>
      </c>
      <c r="N77" s="12" t="s">
        <v>146</v>
      </c>
      <c r="O77" s="89" t="s">
        <v>175</v>
      </c>
      <c r="Q77" s="89" t="s">
        <v>145</v>
      </c>
      <c r="R77" s="89" t="s">
        <v>142</v>
      </c>
      <c r="S77" s="89" t="s">
        <v>143</v>
      </c>
      <c r="T77" s="89" t="s">
        <v>142</v>
      </c>
      <c r="U77" s="89" t="s">
        <v>380</v>
      </c>
      <c r="AG77" s="89" t="s">
        <v>176</v>
      </c>
      <c r="AH77" s="114" t="s">
        <v>177</v>
      </c>
      <c r="AK77" s="84" t="s">
        <v>1308</v>
      </c>
      <c r="AL77" s="113" t="s">
        <v>416</v>
      </c>
      <c r="AM77" s="89" t="s">
        <v>144</v>
      </c>
      <c r="AN77" s="89" t="s">
        <v>144</v>
      </c>
      <c r="AO77" s="12" t="s">
        <v>141</v>
      </c>
      <c r="AP77" s="89" t="s">
        <v>141</v>
      </c>
      <c r="AQ77" s="12" t="s">
        <v>0</v>
      </c>
      <c r="AR77" s="89" t="s">
        <v>38</v>
      </c>
      <c r="AS77" s="12" t="s">
        <v>142</v>
      </c>
      <c r="AT77" s="89" t="s">
        <v>145</v>
      </c>
      <c r="AU77" s="12" t="s">
        <v>362</v>
      </c>
      <c r="AV77" s="12" t="s">
        <v>142</v>
      </c>
      <c r="AY77" s="32">
        <v>107.5</v>
      </c>
      <c r="BA77" s="4"/>
    </row>
    <row r="78" spans="1:53" s="89" customFormat="1" ht="12" customHeight="1" x14ac:dyDescent="0.15">
      <c r="A78" s="89" t="s">
        <v>112</v>
      </c>
      <c r="B78" s="111">
        <v>201143</v>
      </c>
      <c r="C78" s="208" t="s">
        <v>1492</v>
      </c>
      <c r="D78" s="199" t="s">
        <v>372</v>
      </c>
      <c r="E78" s="89" t="s">
        <v>140</v>
      </c>
      <c r="F78" s="12" t="s">
        <v>140</v>
      </c>
      <c r="G78" s="12" t="s">
        <v>141</v>
      </c>
      <c r="H78" s="89" t="s">
        <v>141</v>
      </c>
      <c r="I78" s="12" t="s">
        <v>12</v>
      </c>
      <c r="J78" s="12" t="s">
        <v>0</v>
      </c>
      <c r="K78" s="12" t="s">
        <v>38</v>
      </c>
      <c r="L78" s="12"/>
      <c r="M78" s="12" t="s">
        <v>361</v>
      </c>
      <c r="N78" s="12" t="s">
        <v>146</v>
      </c>
      <c r="O78" s="89" t="s">
        <v>175</v>
      </c>
      <c r="Q78" s="89" t="s">
        <v>145</v>
      </c>
      <c r="R78" s="89" t="s">
        <v>142</v>
      </c>
      <c r="S78" s="89" t="s">
        <v>143</v>
      </c>
      <c r="T78" s="89" t="s">
        <v>142</v>
      </c>
      <c r="U78" s="89" t="s">
        <v>380</v>
      </c>
      <c r="AG78" s="89" t="s">
        <v>176</v>
      </c>
      <c r="AH78" s="114" t="s">
        <v>177</v>
      </c>
      <c r="AK78" s="84" t="s">
        <v>1309</v>
      </c>
      <c r="AL78" s="113" t="s">
        <v>405</v>
      </c>
      <c r="AM78" s="89" t="s">
        <v>144</v>
      </c>
      <c r="AN78" s="89" t="s">
        <v>144</v>
      </c>
      <c r="AO78" s="12" t="s">
        <v>141</v>
      </c>
      <c r="AP78" s="89" t="s">
        <v>141</v>
      </c>
      <c r="AQ78" s="12" t="s">
        <v>0</v>
      </c>
      <c r="AR78" s="89" t="s">
        <v>38</v>
      </c>
      <c r="AS78" s="12" t="s">
        <v>142</v>
      </c>
      <c r="AT78" s="89" t="s">
        <v>145</v>
      </c>
      <c r="AU78" s="12" t="s">
        <v>362</v>
      </c>
      <c r="AV78" s="12" t="s">
        <v>142</v>
      </c>
      <c r="AY78" s="32">
        <v>107.5</v>
      </c>
      <c r="BA78" s="4"/>
    </row>
    <row r="79" spans="1:53" s="89" customFormat="1" ht="12" customHeight="1" x14ac:dyDescent="0.15">
      <c r="A79" s="89" t="s">
        <v>113</v>
      </c>
      <c r="B79" s="111">
        <v>201133</v>
      </c>
      <c r="C79" s="208" t="s">
        <v>1493</v>
      </c>
      <c r="D79" s="199" t="s">
        <v>246</v>
      </c>
      <c r="E79" s="89" t="s">
        <v>140</v>
      </c>
      <c r="F79" s="12" t="s">
        <v>140</v>
      </c>
      <c r="G79" s="12" t="s">
        <v>141</v>
      </c>
      <c r="H79" s="89" t="s">
        <v>141</v>
      </c>
      <c r="I79" s="12" t="s">
        <v>12</v>
      </c>
      <c r="J79" s="12" t="s">
        <v>0</v>
      </c>
      <c r="K79" s="12" t="s">
        <v>38</v>
      </c>
      <c r="L79" s="12"/>
      <c r="M79" s="12" t="s">
        <v>361</v>
      </c>
      <c r="N79" s="12" t="s">
        <v>146</v>
      </c>
      <c r="O79" s="89" t="s">
        <v>175</v>
      </c>
      <c r="Q79" s="89" t="s">
        <v>145</v>
      </c>
      <c r="R79" s="89" t="s">
        <v>142</v>
      </c>
      <c r="S79" s="89" t="s">
        <v>143</v>
      </c>
      <c r="T79" s="89" t="s">
        <v>142</v>
      </c>
      <c r="U79" s="89" t="s">
        <v>380</v>
      </c>
      <c r="AG79" s="89" t="s">
        <v>176</v>
      </c>
      <c r="AH79" s="114" t="s">
        <v>177</v>
      </c>
      <c r="AK79" s="84" t="s">
        <v>1310</v>
      </c>
      <c r="AL79" s="113" t="s">
        <v>404</v>
      </c>
      <c r="AM79" s="89" t="s">
        <v>144</v>
      </c>
      <c r="AN79" s="89" t="s">
        <v>144</v>
      </c>
      <c r="AO79" s="12" t="s">
        <v>141</v>
      </c>
      <c r="AP79" s="89" t="s">
        <v>141</v>
      </c>
      <c r="AQ79" s="12" t="s">
        <v>0</v>
      </c>
      <c r="AR79" s="89" t="s">
        <v>38</v>
      </c>
      <c r="AS79" s="12" t="s">
        <v>142</v>
      </c>
      <c r="AT79" s="89" t="s">
        <v>145</v>
      </c>
      <c r="AU79" s="12" t="s">
        <v>362</v>
      </c>
      <c r="AV79" s="12" t="s">
        <v>142</v>
      </c>
      <c r="AY79" s="32">
        <v>107.5</v>
      </c>
      <c r="BA79" s="4"/>
    </row>
    <row r="80" spans="1:53" s="89" customFormat="1" ht="12" customHeight="1" x14ac:dyDescent="0.15">
      <c r="A80" s="89" t="s">
        <v>114</v>
      </c>
      <c r="B80" s="111">
        <v>201117</v>
      </c>
      <c r="C80" s="208" t="s">
        <v>1494</v>
      </c>
      <c r="D80" s="199" t="s">
        <v>247</v>
      </c>
      <c r="E80" s="89" t="s">
        <v>140</v>
      </c>
      <c r="F80" s="12" t="s">
        <v>140</v>
      </c>
      <c r="G80" s="12" t="s">
        <v>141</v>
      </c>
      <c r="H80" s="89" t="s">
        <v>141</v>
      </c>
      <c r="I80" s="12" t="s">
        <v>12</v>
      </c>
      <c r="J80" s="12" t="s">
        <v>0</v>
      </c>
      <c r="K80" s="12" t="s">
        <v>38</v>
      </c>
      <c r="L80" s="12"/>
      <c r="M80" s="12" t="s">
        <v>361</v>
      </c>
      <c r="N80" s="12" t="s">
        <v>146</v>
      </c>
      <c r="O80" s="89" t="s">
        <v>175</v>
      </c>
      <c r="Q80" s="89" t="s">
        <v>145</v>
      </c>
      <c r="R80" s="89" t="s">
        <v>142</v>
      </c>
      <c r="S80" s="89" t="s">
        <v>143</v>
      </c>
      <c r="T80" s="89" t="s">
        <v>142</v>
      </c>
      <c r="U80" s="89" t="s">
        <v>380</v>
      </c>
      <c r="AG80" s="89" t="s">
        <v>176</v>
      </c>
      <c r="AH80" s="114" t="s">
        <v>177</v>
      </c>
      <c r="AK80" s="84" t="s">
        <v>1311</v>
      </c>
      <c r="AL80" s="113" t="s">
        <v>319</v>
      </c>
      <c r="AM80" s="89" t="s">
        <v>144</v>
      </c>
      <c r="AN80" s="89" t="s">
        <v>144</v>
      </c>
      <c r="AO80" s="12" t="s">
        <v>141</v>
      </c>
      <c r="AP80" s="89" t="s">
        <v>141</v>
      </c>
      <c r="AQ80" s="12" t="s">
        <v>0</v>
      </c>
      <c r="AR80" s="89" t="s">
        <v>38</v>
      </c>
      <c r="AS80" s="12" t="s">
        <v>142</v>
      </c>
      <c r="AT80" s="89" t="s">
        <v>145</v>
      </c>
      <c r="AU80" s="12" t="s">
        <v>362</v>
      </c>
      <c r="AV80" s="12" t="s">
        <v>142</v>
      </c>
      <c r="AY80" s="32">
        <v>107.5</v>
      </c>
      <c r="BA80" s="4"/>
    </row>
    <row r="81" spans="1:53" s="89" customFormat="1" ht="12" customHeight="1" x14ac:dyDescent="0.15">
      <c r="A81" s="89" t="s">
        <v>115</v>
      </c>
      <c r="B81" s="111">
        <v>201123</v>
      </c>
      <c r="C81" s="208" t="s">
        <v>1495</v>
      </c>
      <c r="D81" s="199" t="s">
        <v>248</v>
      </c>
      <c r="E81" s="89" t="s">
        <v>140</v>
      </c>
      <c r="F81" s="12" t="s">
        <v>140</v>
      </c>
      <c r="G81" s="12" t="s">
        <v>141</v>
      </c>
      <c r="H81" s="89" t="s">
        <v>141</v>
      </c>
      <c r="I81" s="12" t="s">
        <v>12</v>
      </c>
      <c r="J81" s="12" t="s">
        <v>0</v>
      </c>
      <c r="K81" s="12" t="s">
        <v>38</v>
      </c>
      <c r="L81" s="12"/>
      <c r="M81" s="12" t="s">
        <v>361</v>
      </c>
      <c r="N81" s="12" t="s">
        <v>146</v>
      </c>
      <c r="O81" s="89" t="s">
        <v>175</v>
      </c>
      <c r="Q81" s="89" t="s">
        <v>145</v>
      </c>
      <c r="R81" s="89" t="s">
        <v>142</v>
      </c>
      <c r="S81" s="89" t="s">
        <v>143</v>
      </c>
      <c r="T81" s="89" t="s">
        <v>142</v>
      </c>
      <c r="U81" s="89" t="s">
        <v>380</v>
      </c>
      <c r="AG81" s="89" t="s">
        <v>176</v>
      </c>
      <c r="AH81" s="114" t="s">
        <v>177</v>
      </c>
      <c r="AK81" s="84" t="s">
        <v>1312</v>
      </c>
      <c r="AL81" s="113" t="s">
        <v>356</v>
      </c>
      <c r="AM81" s="89" t="s">
        <v>144</v>
      </c>
      <c r="AN81" s="89" t="s">
        <v>144</v>
      </c>
      <c r="AO81" s="12" t="s">
        <v>141</v>
      </c>
      <c r="AP81" s="89" t="s">
        <v>141</v>
      </c>
      <c r="AQ81" s="12" t="s">
        <v>0</v>
      </c>
      <c r="AR81" s="89" t="s">
        <v>38</v>
      </c>
      <c r="AS81" s="12" t="s">
        <v>142</v>
      </c>
      <c r="AT81" s="89" t="s">
        <v>145</v>
      </c>
      <c r="AU81" s="12" t="s">
        <v>362</v>
      </c>
      <c r="AV81" s="12" t="s">
        <v>142</v>
      </c>
      <c r="AY81" s="32">
        <v>107.5</v>
      </c>
      <c r="BA81" s="4"/>
    </row>
    <row r="82" spans="1:53" s="89" customFormat="1" ht="12" customHeight="1" x14ac:dyDescent="0.15">
      <c r="A82" s="89" t="s">
        <v>116</v>
      </c>
      <c r="B82" s="111">
        <v>201120</v>
      </c>
      <c r="C82" s="208" t="s">
        <v>1496</v>
      </c>
      <c r="D82" s="199" t="s">
        <v>249</v>
      </c>
      <c r="E82" s="89" t="s">
        <v>140</v>
      </c>
      <c r="F82" s="12" t="s">
        <v>140</v>
      </c>
      <c r="G82" s="12" t="s">
        <v>141</v>
      </c>
      <c r="H82" s="89" t="s">
        <v>141</v>
      </c>
      <c r="I82" s="12" t="s">
        <v>12</v>
      </c>
      <c r="J82" s="12" t="s">
        <v>0</v>
      </c>
      <c r="K82" s="12" t="s">
        <v>38</v>
      </c>
      <c r="L82" s="12"/>
      <c r="M82" s="12" t="s">
        <v>361</v>
      </c>
      <c r="N82" s="12" t="s">
        <v>146</v>
      </c>
      <c r="O82" s="89" t="s">
        <v>175</v>
      </c>
      <c r="Q82" s="89" t="s">
        <v>145</v>
      </c>
      <c r="R82" s="89" t="s">
        <v>142</v>
      </c>
      <c r="S82" s="89" t="s">
        <v>143</v>
      </c>
      <c r="T82" s="89" t="s">
        <v>142</v>
      </c>
      <c r="U82" s="89" t="s">
        <v>380</v>
      </c>
      <c r="AG82" s="89" t="s">
        <v>176</v>
      </c>
      <c r="AH82" s="114" t="s">
        <v>177</v>
      </c>
      <c r="AK82" s="84" t="s">
        <v>1313</v>
      </c>
      <c r="AL82" s="113" t="s">
        <v>320</v>
      </c>
      <c r="AM82" s="89" t="s">
        <v>144</v>
      </c>
      <c r="AN82" s="89" t="s">
        <v>144</v>
      </c>
      <c r="AO82" s="12" t="s">
        <v>141</v>
      </c>
      <c r="AP82" s="89" t="s">
        <v>141</v>
      </c>
      <c r="AQ82" s="12" t="s">
        <v>0</v>
      </c>
      <c r="AR82" s="89" t="s">
        <v>38</v>
      </c>
      <c r="AS82" s="12" t="s">
        <v>142</v>
      </c>
      <c r="AT82" s="89" t="s">
        <v>145</v>
      </c>
      <c r="AU82" s="12" t="s">
        <v>362</v>
      </c>
      <c r="AV82" s="12" t="s">
        <v>142</v>
      </c>
      <c r="AY82" s="32">
        <v>107.5</v>
      </c>
      <c r="BA82" s="4"/>
    </row>
    <row r="83" spans="1:53" s="89" customFormat="1" ht="12" customHeight="1" x14ac:dyDescent="0.15">
      <c r="A83" s="89" t="s">
        <v>117</v>
      </c>
      <c r="B83" s="111">
        <v>201124</v>
      </c>
      <c r="C83" s="208" t="s">
        <v>1497</v>
      </c>
      <c r="D83" s="199" t="s">
        <v>250</v>
      </c>
      <c r="E83" s="89" t="s">
        <v>140</v>
      </c>
      <c r="F83" s="12" t="s">
        <v>140</v>
      </c>
      <c r="G83" s="12" t="s">
        <v>141</v>
      </c>
      <c r="H83" s="89" t="s">
        <v>141</v>
      </c>
      <c r="I83" s="12" t="s">
        <v>12</v>
      </c>
      <c r="J83" s="12" t="s">
        <v>0</v>
      </c>
      <c r="K83" s="12" t="s">
        <v>38</v>
      </c>
      <c r="L83" s="12"/>
      <c r="M83" s="12" t="s">
        <v>361</v>
      </c>
      <c r="N83" s="12" t="s">
        <v>146</v>
      </c>
      <c r="O83" s="89" t="s">
        <v>175</v>
      </c>
      <c r="Q83" s="89" t="s">
        <v>145</v>
      </c>
      <c r="R83" s="89" t="s">
        <v>142</v>
      </c>
      <c r="S83" s="89" t="s">
        <v>143</v>
      </c>
      <c r="T83" s="89" t="s">
        <v>142</v>
      </c>
      <c r="U83" s="89" t="s">
        <v>380</v>
      </c>
      <c r="AG83" s="89" t="s">
        <v>176</v>
      </c>
      <c r="AH83" s="114" t="s">
        <v>177</v>
      </c>
      <c r="AK83" s="84" t="s">
        <v>1314</v>
      </c>
      <c r="AL83" s="113" t="s">
        <v>407</v>
      </c>
      <c r="AM83" s="89" t="s">
        <v>144</v>
      </c>
      <c r="AN83" s="89" t="s">
        <v>144</v>
      </c>
      <c r="AO83" s="12" t="s">
        <v>141</v>
      </c>
      <c r="AP83" s="89" t="s">
        <v>141</v>
      </c>
      <c r="AQ83" s="12" t="s">
        <v>0</v>
      </c>
      <c r="AR83" s="89" t="s">
        <v>38</v>
      </c>
      <c r="AS83" s="12" t="s">
        <v>142</v>
      </c>
      <c r="AT83" s="89" t="s">
        <v>145</v>
      </c>
      <c r="AU83" s="12" t="s">
        <v>362</v>
      </c>
      <c r="AV83" s="12" t="s">
        <v>142</v>
      </c>
      <c r="AY83" s="32">
        <v>107.5</v>
      </c>
      <c r="BA83" s="4"/>
    </row>
    <row r="84" spans="1:53" s="89" customFormat="1" ht="12" customHeight="1" x14ac:dyDescent="0.15">
      <c r="A84" s="89" t="s">
        <v>118</v>
      </c>
      <c r="B84" s="111">
        <v>201140</v>
      </c>
      <c r="C84" s="208" t="s">
        <v>1498</v>
      </c>
      <c r="D84" s="199" t="s">
        <v>251</v>
      </c>
      <c r="E84" s="89" t="s">
        <v>140</v>
      </c>
      <c r="F84" s="12" t="s">
        <v>140</v>
      </c>
      <c r="G84" s="12" t="s">
        <v>141</v>
      </c>
      <c r="H84" s="89" t="s">
        <v>141</v>
      </c>
      <c r="I84" s="12" t="s">
        <v>12</v>
      </c>
      <c r="J84" s="12" t="s">
        <v>0</v>
      </c>
      <c r="K84" s="12" t="s">
        <v>38</v>
      </c>
      <c r="L84" s="12"/>
      <c r="M84" s="12" t="s">
        <v>361</v>
      </c>
      <c r="N84" s="12" t="s">
        <v>146</v>
      </c>
      <c r="O84" s="89" t="s">
        <v>175</v>
      </c>
      <c r="Q84" s="89" t="s">
        <v>145</v>
      </c>
      <c r="R84" s="89" t="s">
        <v>142</v>
      </c>
      <c r="S84" s="89" t="s">
        <v>143</v>
      </c>
      <c r="T84" s="89" t="s">
        <v>142</v>
      </c>
      <c r="U84" s="89" t="s">
        <v>380</v>
      </c>
      <c r="AG84" s="89" t="s">
        <v>176</v>
      </c>
      <c r="AH84" s="114" t="s">
        <v>177</v>
      </c>
      <c r="AK84" s="84" t="s">
        <v>1315</v>
      </c>
      <c r="AL84" s="113" t="s">
        <v>321</v>
      </c>
      <c r="AM84" s="89" t="s">
        <v>144</v>
      </c>
      <c r="AN84" s="89" t="s">
        <v>144</v>
      </c>
      <c r="AO84" s="12" t="s">
        <v>141</v>
      </c>
      <c r="AP84" s="89" t="s">
        <v>141</v>
      </c>
      <c r="AQ84" s="12" t="s">
        <v>0</v>
      </c>
      <c r="AR84" s="89" t="s">
        <v>38</v>
      </c>
      <c r="AS84" s="12" t="s">
        <v>142</v>
      </c>
      <c r="AT84" s="89" t="s">
        <v>145</v>
      </c>
      <c r="AU84" s="12" t="s">
        <v>362</v>
      </c>
      <c r="AV84" s="12" t="s">
        <v>142</v>
      </c>
      <c r="AY84" s="32">
        <v>107.5</v>
      </c>
      <c r="BA84" s="4"/>
    </row>
    <row r="85" spans="1:53" s="115" customFormat="1" ht="12" customHeight="1" x14ac:dyDescent="0.15">
      <c r="A85" s="89" t="s">
        <v>45</v>
      </c>
      <c r="B85" s="111">
        <v>201083</v>
      </c>
      <c r="C85" s="208" t="s">
        <v>1499</v>
      </c>
      <c r="D85" s="199" t="s">
        <v>279</v>
      </c>
      <c r="E85" s="115" t="s">
        <v>140</v>
      </c>
      <c r="F85" s="115" t="s">
        <v>140</v>
      </c>
      <c r="G85" s="115" t="s">
        <v>141</v>
      </c>
      <c r="H85" s="115" t="s">
        <v>141</v>
      </c>
      <c r="I85" s="115" t="s">
        <v>12</v>
      </c>
      <c r="J85" s="115" t="s">
        <v>0</v>
      </c>
      <c r="K85" s="115" t="s">
        <v>38</v>
      </c>
      <c r="M85" s="12" t="s">
        <v>361</v>
      </c>
      <c r="N85" s="12" t="s">
        <v>146</v>
      </c>
      <c r="O85" s="115" t="s">
        <v>175</v>
      </c>
      <c r="Q85" s="115" t="s">
        <v>145</v>
      </c>
      <c r="R85" s="115" t="s">
        <v>142</v>
      </c>
      <c r="S85" s="115" t="s">
        <v>143</v>
      </c>
      <c r="T85" s="115" t="s">
        <v>142</v>
      </c>
      <c r="U85" s="89" t="s">
        <v>380</v>
      </c>
      <c r="AG85" s="115" t="s">
        <v>176</v>
      </c>
      <c r="AH85" s="115" t="s">
        <v>177</v>
      </c>
      <c r="AK85" s="84" t="s">
        <v>1316</v>
      </c>
      <c r="AL85" s="113" t="s">
        <v>322</v>
      </c>
      <c r="AM85" s="115" t="s">
        <v>144</v>
      </c>
      <c r="AN85" s="115" t="s">
        <v>144</v>
      </c>
      <c r="AO85" s="115" t="s">
        <v>141</v>
      </c>
      <c r="AP85" s="115" t="s">
        <v>141</v>
      </c>
      <c r="AQ85" s="115" t="s">
        <v>0</v>
      </c>
      <c r="AR85" s="115" t="s">
        <v>38</v>
      </c>
      <c r="AS85" s="115" t="s">
        <v>142</v>
      </c>
      <c r="AT85" s="115" t="s">
        <v>145</v>
      </c>
      <c r="AU85" s="12" t="s">
        <v>362</v>
      </c>
      <c r="AV85" s="115" t="s">
        <v>142</v>
      </c>
      <c r="AY85" s="32">
        <v>107.5</v>
      </c>
      <c r="BA85" s="4"/>
    </row>
    <row r="86" spans="1:53" s="89" customFormat="1" ht="12" customHeight="1" x14ac:dyDescent="0.15">
      <c r="A86" s="89" t="s">
        <v>119</v>
      </c>
      <c r="B86" s="111">
        <v>201158</v>
      </c>
      <c r="C86" s="208" t="s">
        <v>1500</v>
      </c>
      <c r="D86" s="199" t="s">
        <v>252</v>
      </c>
      <c r="E86" s="89" t="s">
        <v>140</v>
      </c>
      <c r="F86" s="12" t="s">
        <v>140</v>
      </c>
      <c r="G86" s="12" t="s">
        <v>141</v>
      </c>
      <c r="H86" s="89" t="s">
        <v>141</v>
      </c>
      <c r="I86" s="12" t="s">
        <v>12</v>
      </c>
      <c r="J86" s="12" t="s">
        <v>0</v>
      </c>
      <c r="K86" s="12" t="s">
        <v>38</v>
      </c>
      <c r="L86" s="12"/>
      <c r="M86" s="12" t="s">
        <v>361</v>
      </c>
      <c r="N86" s="12" t="s">
        <v>146</v>
      </c>
      <c r="O86" s="89" t="s">
        <v>175</v>
      </c>
      <c r="Q86" s="89" t="s">
        <v>145</v>
      </c>
      <c r="R86" s="89" t="s">
        <v>142</v>
      </c>
      <c r="S86" s="89" t="s">
        <v>143</v>
      </c>
      <c r="T86" s="89" t="s">
        <v>142</v>
      </c>
      <c r="U86" s="89" t="s">
        <v>380</v>
      </c>
      <c r="AG86" s="89" t="s">
        <v>176</v>
      </c>
      <c r="AH86" s="114" t="s">
        <v>177</v>
      </c>
      <c r="AK86" s="84" t="s">
        <v>1317</v>
      </c>
      <c r="AL86" s="113" t="s">
        <v>323</v>
      </c>
      <c r="AM86" s="89" t="s">
        <v>144</v>
      </c>
      <c r="AN86" s="89" t="s">
        <v>144</v>
      </c>
      <c r="AO86" s="12" t="s">
        <v>141</v>
      </c>
      <c r="AP86" s="89" t="s">
        <v>141</v>
      </c>
      <c r="AQ86" s="12" t="s">
        <v>0</v>
      </c>
      <c r="AR86" s="89" t="s">
        <v>38</v>
      </c>
      <c r="AS86" s="12" t="s">
        <v>142</v>
      </c>
      <c r="AT86" s="89" t="s">
        <v>145</v>
      </c>
      <c r="AU86" s="12" t="s">
        <v>362</v>
      </c>
      <c r="AV86" s="12" t="s">
        <v>142</v>
      </c>
      <c r="AY86" s="32">
        <v>107.5</v>
      </c>
      <c r="BA86" s="4"/>
    </row>
    <row r="87" spans="1:53" s="89" customFormat="1" ht="12" customHeight="1" x14ac:dyDescent="0.15">
      <c r="A87" s="89" t="s">
        <v>120</v>
      </c>
      <c r="B87" s="111">
        <v>201141</v>
      </c>
      <c r="C87" s="208" t="s">
        <v>1501</v>
      </c>
      <c r="D87" s="199" t="s">
        <v>253</v>
      </c>
      <c r="E87" s="89" t="s">
        <v>140</v>
      </c>
      <c r="F87" s="12" t="s">
        <v>140</v>
      </c>
      <c r="G87" s="12" t="s">
        <v>141</v>
      </c>
      <c r="H87" s="89" t="s">
        <v>141</v>
      </c>
      <c r="I87" s="12" t="s">
        <v>12</v>
      </c>
      <c r="J87" s="12" t="s">
        <v>0</v>
      </c>
      <c r="K87" s="12" t="s">
        <v>38</v>
      </c>
      <c r="L87" s="12"/>
      <c r="M87" s="12" t="s">
        <v>361</v>
      </c>
      <c r="N87" s="12" t="s">
        <v>146</v>
      </c>
      <c r="O87" s="89" t="s">
        <v>175</v>
      </c>
      <c r="Q87" s="89" t="s">
        <v>145</v>
      </c>
      <c r="R87" s="89" t="s">
        <v>142</v>
      </c>
      <c r="S87" s="89" t="s">
        <v>143</v>
      </c>
      <c r="T87" s="89" t="s">
        <v>142</v>
      </c>
      <c r="U87" s="89" t="s">
        <v>380</v>
      </c>
      <c r="AG87" s="89" t="s">
        <v>176</v>
      </c>
      <c r="AH87" s="114" t="s">
        <v>177</v>
      </c>
      <c r="AK87" s="84" t="s">
        <v>1318</v>
      </c>
      <c r="AL87" s="113" t="s">
        <v>324</v>
      </c>
      <c r="AM87" s="89" t="s">
        <v>144</v>
      </c>
      <c r="AN87" s="89" t="s">
        <v>144</v>
      </c>
      <c r="AO87" s="12" t="s">
        <v>141</v>
      </c>
      <c r="AP87" s="89" t="s">
        <v>141</v>
      </c>
      <c r="AQ87" s="12" t="s">
        <v>0</v>
      </c>
      <c r="AR87" s="89" t="s">
        <v>38</v>
      </c>
      <c r="AS87" s="12" t="s">
        <v>142</v>
      </c>
      <c r="AT87" s="89" t="s">
        <v>145</v>
      </c>
      <c r="AU87" s="12" t="s">
        <v>362</v>
      </c>
      <c r="AV87" s="12" t="s">
        <v>142</v>
      </c>
      <c r="AY87" s="32">
        <v>107.5</v>
      </c>
      <c r="BA87" s="4"/>
    </row>
    <row r="88" spans="1:53" s="89" customFormat="1" ht="12" customHeight="1" x14ac:dyDescent="0.15">
      <c r="A88" s="89" t="s">
        <v>121</v>
      </c>
      <c r="B88" s="111">
        <v>201134</v>
      </c>
      <c r="C88" s="208" t="s">
        <v>1502</v>
      </c>
      <c r="D88" s="199" t="s">
        <v>254</v>
      </c>
      <c r="E88" s="89" t="s">
        <v>140</v>
      </c>
      <c r="F88" s="12" t="s">
        <v>140</v>
      </c>
      <c r="G88" s="12" t="s">
        <v>141</v>
      </c>
      <c r="H88" s="89" t="s">
        <v>141</v>
      </c>
      <c r="I88" s="12" t="s">
        <v>12</v>
      </c>
      <c r="J88" s="12" t="s">
        <v>0</v>
      </c>
      <c r="K88" s="12" t="s">
        <v>38</v>
      </c>
      <c r="L88" s="12"/>
      <c r="M88" s="12" t="s">
        <v>361</v>
      </c>
      <c r="N88" s="12" t="s">
        <v>146</v>
      </c>
      <c r="O88" s="89" t="s">
        <v>175</v>
      </c>
      <c r="Q88" s="89" t="s">
        <v>145</v>
      </c>
      <c r="R88" s="89" t="s">
        <v>142</v>
      </c>
      <c r="S88" s="89" t="s">
        <v>143</v>
      </c>
      <c r="T88" s="89" t="s">
        <v>142</v>
      </c>
      <c r="U88" s="89" t="s">
        <v>380</v>
      </c>
      <c r="AG88" s="89" t="s">
        <v>176</v>
      </c>
      <c r="AH88" s="114" t="s">
        <v>177</v>
      </c>
      <c r="AK88" s="84" t="s">
        <v>1319</v>
      </c>
      <c r="AL88" s="113" t="s">
        <v>325</v>
      </c>
      <c r="AM88" s="89" t="s">
        <v>144</v>
      </c>
      <c r="AN88" s="89" t="s">
        <v>144</v>
      </c>
      <c r="AO88" s="12" t="s">
        <v>141</v>
      </c>
      <c r="AP88" s="89" t="s">
        <v>141</v>
      </c>
      <c r="AQ88" s="12" t="s">
        <v>0</v>
      </c>
      <c r="AR88" s="89" t="s">
        <v>38</v>
      </c>
      <c r="AS88" s="12" t="s">
        <v>142</v>
      </c>
      <c r="AT88" s="89" t="s">
        <v>145</v>
      </c>
      <c r="AU88" s="12" t="s">
        <v>362</v>
      </c>
      <c r="AV88" s="12" t="s">
        <v>142</v>
      </c>
      <c r="AY88" s="32">
        <v>107.5</v>
      </c>
      <c r="BA88" s="4"/>
    </row>
    <row r="89" spans="1:53" s="89" customFormat="1" ht="12" customHeight="1" x14ac:dyDescent="0.15">
      <c r="A89" s="89" t="s">
        <v>122</v>
      </c>
      <c r="B89" s="111">
        <v>201115</v>
      </c>
      <c r="C89" s="208" t="s">
        <v>1503</v>
      </c>
      <c r="D89" s="199" t="s">
        <v>255</v>
      </c>
      <c r="E89" s="89" t="s">
        <v>140</v>
      </c>
      <c r="F89" s="12" t="s">
        <v>140</v>
      </c>
      <c r="G89" s="12" t="s">
        <v>141</v>
      </c>
      <c r="H89" s="89" t="s">
        <v>141</v>
      </c>
      <c r="I89" s="12" t="s">
        <v>12</v>
      </c>
      <c r="J89" s="12" t="s">
        <v>0</v>
      </c>
      <c r="K89" s="12" t="s">
        <v>38</v>
      </c>
      <c r="L89" s="12"/>
      <c r="M89" s="12" t="s">
        <v>361</v>
      </c>
      <c r="N89" s="12" t="s">
        <v>146</v>
      </c>
      <c r="O89" s="89" t="s">
        <v>175</v>
      </c>
      <c r="Q89" s="89" t="s">
        <v>145</v>
      </c>
      <c r="R89" s="89" t="s">
        <v>142</v>
      </c>
      <c r="S89" s="89" t="s">
        <v>143</v>
      </c>
      <c r="T89" s="89" t="s">
        <v>142</v>
      </c>
      <c r="U89" s="89" t="s">
        <v>380</v>
      </c>
      <c r="AG89" s="89" t="s">
        <v>176</v>
      </c>
      <c r="AH89" s="114" t="s">
        <v>177</v>
      </c>
      <c r="AK89" s="84" t="s">
        <v>1320</v>
      </c>
      <c r="AL89" s="113" t="s">
        <v>384</v>
      </c>
      <c r="AM89" s="89" t="s">
        <v>144</v>
      </c>
      <c r="AN89" s="89" t="s">
        <v>144</v>
      </c>
      <c r="AO89" s="12" t="s">
        <v>141</v>
      </c>
      <c r="AP89" s="89" t="s">
        <v>141</v>
      </c>
      <c r="AQ89" s="12" t="s">
        <v>0</v>
      </c>
      <c r="AR89" s="89" t="s">
        <v>38</v>
      </c>
      <c r="AS89" s="12" t="s">
        <v>142</v>
      </c>
      <c r="AT89" s="89" t="s">
        <v>145</v>
      </c>
      <c r="AU89" s="12" t="s">
        <v>362</v>
      </c>
      <c r="AV89" s="12" t="s">
        <v>142</v>
      </c>
      <c r="AY89" s="32">
        <v>107.5</v>
      </c>
      <c r="BA89" s="4"/>
    </row>
    <row r="90" spans="1:53" s="89" customFormat="1" ht="12" customHeight="1" x14ac:dyDescent="0.15">
      <c r="A90" s="89" t="s">
        <v>123</v>
      </c>
      <c r="B90" s="111">
        <v>201164</v>
      </c>
      <c r="C90" s="208" t="s">
        <v>1504</v>
      </c>
      <c r="D90" s="199" t="s">
        <v>256</v>
      </c>
      <c r="E90" s="89" t="s">
        <v>140</v>
      </c>
      <c r="F90" s="12" t="s">
        <v>140</v>
      </c>
      <c r="G90" s="12" t="s">
        <v>141</v>
      </c>
      <c r="H90" s="89" t="s">
        <v>141</v>
      </c>
      <c r="I90" s="12" t="s">
        <v>12</v>
      </c>
      <c r="J90" s="12" t="s">
        <v>0</v>
      </c>
      <c r="K90" s="12" t="s">
        <v>38</v>
      </c>
      <c r="L90" s="12"/>
      <c r="M90" s="12" t="s">
        <v>361</v>
      </c>
      <c r="N90" s="12" t="s">
        <v>146</v>
      </c>
      <c r="O90" s="89" t="s">
        <v>175</v>
      </c>
      <c r="Q90" s="89" t="s">
        <v>145</v>
      </c>
      <c r="R90" s="89" t="s">
        <v>142</v>
      </c>
      <c r="S90" s="89" t="s">
        <v>143</v>
      </c>
      <c r="T90" s="89" t="s">
        <v>142</v>
      </c>
      <c r="U90" s="89" t="s">
        <v>380</v>
      </c>
      <c r="AG90" s="89" t="s">
        <v>176</v>
      </c>
      <c r="AH90" s="114" t="s">
        <v>177</v>
      </c>
      <c r="AK90" s="84" t="s">
        <v>1321</v>
      </c>
      <c r="AL90" s="113" t="s">
        <v>411</v>
      </c>
      <c r="AM90" s="89" t="s">
        <v>144</v>
      </c>
      <c r="AN90" s="89" t="s">
        <v>144</v>
      </c>
      <c r="AO90" s="12" t="s">
        <v>141</v>
      </c>
      <c r="AP90" s="89" t="s">
        <v>141</v>
      </c>
      <c r="AQ90" s="12" t="s">
        <v>0</v>
      </c>
      <c r="AR90" s="89" t="s">
        <v>38</v>
      </c>
      <c r="AS90" s="12" t="s">
        <v>142</v>
      </c>
      <c r="AT90" s="89" t="s">
        <v>145</v>
      </c>
      <c r="AU90" s="12" t="s">
        <v>362</v>
      </c>
      <c r="AV90" s="12" t="s">
        <v>142</v>
      </c>
      <c r="AY90" s="32">
        <v>107.5</v>
      </c>
      <c r="BA90" s="4"/>
    </row>
    <row r="91" spans="1:53" s="89" customFormat="1" ht="12" customHeight="1" x14ac:dyDescent="0.15">
      <c r="A91" s="89" t="s">
        <v>124</v>
      </c>
      <c r="B91" s="111">
        <v>201159</v>
      </c>
      <c r="C91" s="208" t="s">
        <v>1505</v>
      </c>
      <c r="D91" s="199" t="s">
        <v>399</v>
      </c>
      <c r="E91" s="89" t="s">
        <v>140</v>
      </c>
      <c r="F91" s="12" t="s">
        <v>140</v>
      </c>
      <c r="G91" s="12" t="s">
        <v>141</v>
      </c>
      <c r="H91" s="89" t="s">
        <v>141</v>
      </c>
      <c r="I91" s="12" t="s">
        <v>12</v>
      </c>
      <c r="J91" s="12" t="s">
        <v>0</v>
      </c>
      <c r="K91" s="12" t="s">
        <v>38</v>
      </c>
      <c r="L91" s="12"/>
      <c r="M91" s="12" t="s">
        <v>361</v>
      </c>
      <c r="N91" s="12" t="s">
        <v>146</v>
      </c>
      <c r="O91" s="89" t="s">
        <v>175</v>
      </c>
      <c r="Q91" s="89" t="s">
        <v>145</v>
      </c>
      <c r="R91" s="89" t="s">
        <v>142</v>
      </c>
      <c r="S91" s="89" t="s">
        <v>143</v>
      </c>
      <c r="T91" s="89" t="s">
        <v>142</v>
      </c>
      <c r="U91" s="89" t="s">
        <v>380</v>
      </c>
      <c r="AG91" s="89" t="s">
        <v>176</v>
      </c>
      <c r="AH91" s="114" t="s">
        <v>177</v>
      </c>
      <c r="AK91" s="84" t="s">
        <v>1322</v>
      </c>
      <c r="AL91" s="113" t="s">
        <v>390</v>
      </c>
      <c r="AM91" s="89" t="s">
        <v>144</v>
      </c>
      <c r="AN91" s="89" t="s">
        <v>144</v>
      </c>
      <c r="AO91" s="12" t="s">
        <v>141</v>
      </c>
      <c r="AP91" s="89" t="s">
        <v>141</v>
      </c>
      <c r="AQ91" s="12" t="s">
        <v>0</v>
      </c>
      <c r="AR91" s="89" t="s">
        <v>38</v>
      </c>
      <c r="AS91" s="12" t="s">
        <v>142</v>
      </c>
      <c r="AT91" s="89" t="s">
        <v>145</v>
      </c>
      <c r="AU91" s="12" t="s">
        <v>362</v>
      </c>
      <c r="AV91" s="12" t="s">
        <v>142</v>
      </c>
      <c r="AY91" s="32">
        <v>107.5</v>
      </c>
      <c r="BA91" s="4"/>
    </row>
    <row r="92" spans="1:53" s="89" customFormat="1" ht="12" customHeight="1" x14ac:dyDescent="0.15">
      <c r="A92" s="89" t="s">
        <v>125</v>
      </c>
      <c r="B92" s="111">
        <v>201200</v>
      </c>
      <c r="C92" s="209" t="s">
        <v>1506</v>
      </c>
      <c r="D92" s="199" t="s">
        <v>257</v>
      </c>
      <c r="E92" s="89" t="s">
        <v>140</v>
      </c>
      <c r="F92" s="12" t="s">
        <v>140</v>
      </c>
      <c r="G92" s="12" t="s">
        <v>141</v>
      </c>
      <c r="H92" s="89" t="s">
        <v>141</v>
      </c>
      <c r="I92" s="12" t="s">
        <v>12</v>
      </c>
      <c r="J92" s="12" t="s">
        <v>0</v>
      </c>
      <c r="K92" s="12" t="s">
        <v>38</v>
      </c>
      <c r="L92" s="12"/>
      <c r="M92" s="12" t="s">
        <v>361</v>
      </c>
      <c r="N92" s="12" t="s">
        <v>146</v>
      </c>
      <c r="O92" s="89" t="s">
        <v>175</v>
      </c>
      <c r="Q92" s="89" t="s">
        <v>145</v>
      </c>
      <c r="R92" s="89" t="s">
        <v>142</v>
      </c>
      <c r="S92" s="89" t="s">
        <v>143</v>
      </c>
      <c r="T92" s="89" t="s">
        <v>142</v>
      </c>
      <c r="U92" s="89" t="s">
        <v>380</v>
      </c>
      <c r="AG92" s="89" t="s">
        <v>176</v>
      </c>
      <c r="AH92" s="114" t="s">
        <v>177</v>
      </c>
      <c r="AK92" s="84" t="s">
        <v>1323</v>
      </c>
      <c r="AL92" s="113" t="s">
        <v>387</v>
      </c>
      <c r="AM92" s="89" t="s">
        <v>144</v>
      </c>
      <c r="AN92" s="89" t="s">
        <v>144</v>
      </c>
      <c r="AO92" s="12" t="s">
        <v>141</v>
      </c>
      <c r="AP92" s="89" t="s">
        <v>141</v>
      </c>
      <c r="AQ92" s="12" t="s">
        <v>0</v>
      </c>
      <c r="AR92" s="89" t="s">
        <v>38</v>
      </c>
      <c r="AS92" s="12" t="s">
        <v>142</v>
      </c>
      <c r="AT92" s="89" t="s">
        <v>145</v>
      </c>
      <c r="AU92" s="12" t="s">
        <v>362</v>
      </c>
      <c r="AV92" s="12" t="s">
        <v>142</v>
      </c>
      <c r="AY92" s="32">
        <v>107.5</v>
      </c>
      <c r="BA92" s="4"/>
    </row>
    <row r="93" spans="1:53" s="89" customFormat="1" ht="12" customHeight="1" x14ac:dyDescent="0.15">
      <c r="A93" s="89" t="s">
        <v>126</v>
      </c>
      <c r="B93" s="111">
        <v>201198</v>
      </c>
      <c r="C93" s="209" t="s">
        <v>1507</v>
      </c>
      <c r="D93" s="200" t="s">
        <v>985</v>
      </c>
      <c r="E93" s="89" t="s">
        <v>140</v>
      </c>
      <c r="F93" s="12" t="s">
        <v>140</v>
      </c>
      <c r="G93" s="12" t="s">
        <v>141</v>
      </c>
      <c r="H93" s="89" t="s">
        <v>141</v>
      </c>
      <c r="I93" s="12" t="s">
        <v>12</v>
      </c>
      <c r="J93" s="12" t="s">
        <v>0</v>
      </c>
      <c r="K93" s="12" t="s">
        <v>38</v>
      </c>
      <c r="L93" s="12"/>
      <c r="M93" s="12" t="s">
        <v>361</v>
      </c>
      <c r="N93" s="12" t="s">
        <v>146</v>
      </c>
      <c r="O93" s="89" t="s">
        <v>175</v>
      </c>
      <c r="Q93" s="89" t="s">
        <v>145</v>
      </c>
      <c r="R93" s="89" t="s">
        <v>142</v>
      </c>
      <c r="S93" s="89" t="s">
        <v>143</v>
      </c>
      <c r="T93" s="89" t="s">
        <v>142</v>
      </c>
      <c r="U93" s="89" t="s">
        <v>380</v>
      </c>
      <c r="AG93" s="89" t="s">
        <v>176</v>
      </c>
      <c r="AH93" s="114" t="s">
        <v>177</v>
      </c>
      <c r="AK93" s="84" t="s">
        <v>1324</v>
      </c>
      <c r="AL93" s="113" t="s">
        <v>986</v>
      </c>
      <c r="AM93" s="89" t="s">
        <v>144</v>
      </c>
      <c r="AN93" s="89" t="s">
        <v>144</v>
      </c>
      <c r="AO93" s="12" t="s">
        <v>141</v>
      </c>
      <c r="AP93" s="89" t="s">
        <v>141</v>
      </c>
      <c r="AQ93" s="12" t="s">
        <v>0</v>
      </c>
      <c r="AR93" s="89" t="s">
        <v>38</v>
      </c>
      <c r="AS93" s="12" t="s">
        <v>142</v>
      </c>
      <c r="AT93" s="89" t="s">
        <v>145</v>
      </c>
      <c r="AU93" s="12" t="s">
        <v>362</v>
      </c>
      <c r="AV93" s="12" t="s">
        <v>142</v>
      </c>
      <c r="AY93" s="32">
        <v>107.5</v>
      </c>
      <c r="BA93" s="4"/>
    </row>
    <row r="94" spans="1:53" s="89" customFormat="1" ht="12" customHeight="1" x14ac:dyDescent="0.15">
      <c r="A94" s="89" t="s">
        <v>127</v>
      </c>
      <c r="B94" s="111">
        <v>201184</v>
      </c>
      <c r="C94" s="208" t="s">
        <v>1508</v>
      </c>
      <c r="D94" s="199" t="s">
        <v>258</v>
      </c>
      <c r="E94" s="89" t="s">
        <v>140</v>
      </c>
      <c r="F94" s="12" t="s">
        <v>140</v>
      </c>
      <c r="G94" s="12" t="s">
        <v>141</v>
      </c>
      <c r="H94" s="89" t="s">
        <v>141</v>
      </c>
      <c r="I94" s="12" t="s">
        <v>12</v>
      </c>
      <c r="J94" s="12" t="s">
        <v>0</v>
      </c>
      <c r="K94" s="12" t="s">
        <v>38</v>
      </c>
      <c r="L94" s="12"/>
      <c r="M94" s="12" t="s">
        <v>361</v>
      </c>
      <c r="N94" s="12" t="s">
        <v>146</v>
      </c>
      <c r="O94" s="89" t="s">
        <v>175</v>
      </c>
      <c r="Q94" s="89" t="s">
        <v>145</v>
      </c>
      <c r="R94" s="89" t="s">
        <v>142</v>
      </c>
      <c r="S94" s="89" t="s">
        <v>143</v>
      </c>
      <c r="T94" s="89" t="s">
        <v>142</v>
      </c>
      <c r="U94" s="89" t="s">
        <v>380</v>
      </c>
      <c r="AG94" s="89" t="s">
        <v>176</v>
      </c>
      <c r="AH94" s="114" t="s">
        <v>177</v>
      </c>
      <c r="AK94" s="84" t="s">
        <v>1325</v>
      </c>
      <c r="AL94" s="113" t="s">
        <v>326</v>
      </c>
      <c r="AM94" s="89" t="s">
        <v>144</v>
      </c>
      <c r="AN94" s="89" t="s">
        <v>144</v>
      </c>
      <c r="AO94" s="12" t="s">
        <v>141</v>
      </c>
      <c r="AP94" s="89" t="s">
        <v>141</v>
      </c>
      <c r="AQ94" s="12" t="s">
        <v>0</v>
      </c>
      <c r="AR94" s="89" t="s">
        <v>38</v>
      </c>
      <c r="AS94" s="12" t="s">
        <v>142</v>
      </c>
      <c r="AT94" s="89" t="s">
        <v>145</v>
      </c>
      <c r="AU94" s="12" t="s">
        <v>362</v>
      </c>
      <c r="AV94" s="12" t="s">
        <v>142</v>
      </c>
      <c r="AY94" s="32">
        <v>107.5</v>
      </c>
      <c r="BA94" s="4"/>
    </row>
    <row r="95" spans="1:53" s="89" customFormat="1" ht="12" customHeight="1" x14ac:dyDescent="0.15">
      <c r="A95" s="89" t="s">
        <v>128</v>
      </c>
      <c r="B95" s="111">
        <v>201199</v>
      </c>
      <c r="C95" s="208" t="s">
        <v>1509</v>
      </c>
      <c r="D95" s="199" t="s">
        <v>259</v>
      </c>
      <c r="E95" s="89" t="s">
        <v>140</v>
      </c>
      <c r="F95" s="12" t="s">
        <v>140</v>
      </c>
      <c r="G95" s="12" t="s">
        <v>141</v>
      </c>
      <c r="H95" s="89" t="s">
        <v>141</v>
      </c>
      <c r="I95" s="12" t="s">
        <v>12</v>
      </c>
      <c r="J95" s="12" t="s">
        <v>0</v>
      </c>
      <c r="K95" s="12" t="s">
        <v>38</v>
      </c>
      <c r="L95" s="12"/>
      <c r="M95" s="12" t="s">
        <v>361</v>
      </c>
      <c r="N95" s="12" t="s">
        <v>146</v>
      </c>
      <c r="O95" s="89" t="s">
        <v>175</v>
      </c>
      <c r="Q95" s="89" t="s">
        <v>145</v>
      </c>
      <c r="R95" s="89" t="s">
        <v>142</v>
      </c>
      <c r="S95" s="89" t="s">
        <v>143</v>
      </c>
      <c r="T95" s="89" t="s">
        <v>142</v>
      </c>
      <c r="U95" s="89" t="s">
        <v>380</v>
      </c>
      <c r="AG95" s="89" t="s">
        <v>176</v>
      </c>
      <c r="AH95" s="114" t="s">
        <v>177</v>
      </c>
      <c r="AK95" s="84" t="s">
        <v>1326</v>
      </c>
      <c r="AL95" s="113" t="s">
        <v>327</v>
      </c>
      <c r="AM95" s="89" t="s">
        <v>144</v>
      </c>
      <c r="AN95" s="89" t="s">
        <v>144</v>
      </c>
      <c r="AO95" s="12" t="s">
        <v>141</v>
      </c>
      <c r="AP95" s="89" t="s">
        <v>141</v>
      </c>
      <c r="AQ95" s="12" t="s">
        <v>0</v>
      </c>
      <c r="AR95" s="89" t="s">
        <v>38</v>
      </c>
      <c r="AS95" s="12" t="s">
        <v>142</v>
      </c>
      <c r="AT95" s="89" t="s">
        <v>145</v>
      </c>
      <c r="AU95" s="12" t="s">
        <v>362</v>
      </c>
      <c r="AV95" s="12" t="s">
        <v>142</v>
      </c>
      <c r="AY95" s="32">
        <v>107.5</v>
      </c>
      <c r="BA95" s="4"/>
    </row>
    <row r="96" spans="1:53" s="89" customFormat="1" ht="12" customHeight="1" x14ac:dyDescent="0.15">
      <c r="A96" s="89" t="s">
        <v>129</v>
      </c>
      <c r="B96" s="111">
        <v>201212</v>
      </c>
      <c r="C96" s="208" t="s">
        <v>1510</v>
      </c>
      <c r="D96" s="199" t="s">
        <v>260</v>
      </c>
      <c r="E96" s="89" t="s">
        <v>140</v>
      </c>
      <c r="F96" s="12" t="s">
        <v>140</v>
      </c>
      <c r="G96" s="12" t="s">
        <v>141</v>
      </c>
      <c r="H96" s="89" t="s">
        <v>141</v>
      </c>
      <c r="I96" s="12" t="s">
        <v>12</v>
      </c>
      <c r="J96" s="12" t="s">
        <v>0</v>
      </c>
      <c r="K96" s="12" t="s">
        <v>38</v>
      </c>
      <c r="L96" s="12"/>
      <c r="M96" s="12" t="s">
        <v>361</v>
      </c>
      <c r="N96" s="12" t="s">
        <v>146</v>
      </c>
      <c r="O96" s="89" t="s">
        <v>175</v>
      </c>
      <c r="Q96" s="89" t="s">
        <v>145</v>
      </c>
      <c r="R96" s="89" t="s">
        <v>142</v>
      </c>
      <c r="S96" s="89" t="s">
        <v>143</v>
      </c>
      <c r="T96" s="89" t="s">
        <v>142</v>
      </c>
      <c r="U96" s="89" t="s">
        <v>380</v>
      </c>
      <c r="AG96" s="89" t="s">
        <v>176</v>
      </c>
      <c r="AH96" s="114" t="s">
        <v>177</v>
      </c>
      <c r="AK96" s="84" t="s">
        <v>1327</v>
      </c>
      <c r="AL96" s="113" t="s">
        <v>328</v>
      </c>
      <c r="AM96" s="89" t="s">
        <v>144</v>
      </c>
      <c r="AN96" s="89" t="s">
        <v>144</v>
      </c>
      <c r="AO96" s="12" t="s">
        <v>141</v>
      </c>
      <c r="AP96" s="89" t="s">
        <v>141</v>
      </c>
      <c r="AQ96" s="12" t="s">
        <v>0</v>
      </c>
      <c r="AR96" s="89" t="s">
        <v>38</v>
      </c>
      <c r="AS96" s="12" t="s">
        <v>142</v>
      </c>
      <c r="AT96" s="89" t="s">
        <v>145</v>
      </c>
      <c r="AU96" s="12" t="s">
        <v>362</v>
      </c>
      <c r="AV96" s="12" t="s">
        <v>142</v>
      </c>
      <c r="AY96" s="32">
        <v>107.5</v>
      </c>
      <c r="BA96" s="4"/>
    </row>
    <row r="97" spans="1:53" s="89" customFormat="1" ht="12" customHeight="1" x14ac:dyDescent="0.15">
      <c r="A97" s="89" t="s">
        <v>130</v>
      </c>
      <c r="B97" s="111">
        <v>201214</v>
      </c>
      <c r="C97" s="208" t="s">
        <v>1511</v>
      </c>
      <c r="D97" s="199" t="s">
        <v>261</v>
      </c>
      <c r="E97" s="89" t="s">
        <v>140</v>
      </c>
      <c r="F97" s="12" t="s">
        <v>140</v>
      </c>
      <c r="G97" s="12" t="s">
        <v>141</v>
      </c>
      <c r="H97" s="89" t="s">
        <v>141</v>
      </c>
      <c r="I97" s="12" t="s">
        <v>12</v>
      </c>
      <c r="J97" s="12" t="s">
        <v>0</v>
      </c>
      <c r="K97" s="12" t="s">
        <v>38</v>
      </c>
      <c r="L97" s="12"/>
      <c r="M97" s="12" t="s">
        <v>361</v>
      </c>
      <c r="N97" s="12" t="s">
        <v>146</v>
      </c>
      <c r="O97" s="89" t="s">
        <v>175</v>
      </c>
      <c r="Q97" s="89" t="s">
        <v>145</v>
      </c>
      <c r="R97" s="89" t="s">
        <v>142</v>
      </c>
      <c r="S97" s="89" t="s">
        <v>143</v>
      </c>
      <c r="T97" s="89" t="s">
        <v>142</v>
      </c>
      <c r="U97" s="89" t="s">
        <v>380</v>
      </c>
      <c r="AG97" s="89" t="s">
        <v>176</v>
      </c>
      <c r="AH97" s="114" t="s">
        <v>177</v>
      </c>
      <c r="AK97" s="84" t="s">
        <v>1328</v>
      </c>
      <c r="AL97" s="113" t="s">
        <v>329</v>
      </c>
      <c r="AM97" s="89" t="s">
        <v>144</v>
      </c>
      <c r="AN97" s="89" t="s">
        <v>144</v>
      </c>
      <c r="AO97" s="12" t="s">
        <v>141</v>
      </c>
      <c r="AP97" s="89" t="s">
        <v>141</v>
      </c>
      <c r="AQ97" s="12" t="s">
        <v>0</v>
      </c>
      <c r="AR97" s="89" t="s">
        <v>38</v>
      </c>
      <c r="AS97" s="12" t="s">
        <v>142</v>
      </c>
      <c r="AT97" s="89" t="s">
        <v>145</v>
      </c>
      <c r="AU97" s="12" t="s">
        <v>362</v>
      </c>
      <c r="AV97" s="12" t="s">
        <v>142</v>
      </c>
      <c r="AY97" s="32">
        <v>107.5</v>
      </c>
      <c r="BA97" s="4"/>
    </row>
    <row r="98" spans="1:53" s="89" customFormat="1" ht="12" customHeight="1" x14ac:dyDescent="0.15">
      <c r="A98" s="89" t="s">
        <v>131</v>
      </c>
      <c r="B98" s="111">
        <v>201201</v>
      </c>
      <c r="C98" s="208" t="s">
        <v>1512</v>
      </c>
      <c r="D98" s="199" t="s">
        <v>262</v>
      </c>
      <c r="E98" s="89" t="s">
        <v>140</v>
      </c>
      <c r="F98" s="12" t="s">
        <v>140</v>
      </c>
      <c r="G98" s="12" t="s">
        <v>141</v>
      </c>
      <c r="H98" s="89" t="s">
        <v>141</v>
      </c>
      <c r="I98" s="12" t="s">
        <v>12</v>
      </c>
      <c r="J98" s="12" t="s">
        <v>0</v>
      </c>
      <c r="K98" s="12" t="s">
        <v>38</v>
      </c>
      <c r="L98" s="12"/>
      <c r="M98" s="12" t="s">
        <v>361</v>
      </c>
      <c r="N98" s="12" t="s">
        <v>146</v>
      </c>
      <c r="O98" s="89" t="s">
        <v>175</v>
      </c>
      <c r="Q98" s="89" t="s">
        <v>145</v>
      </c>
      <c r="R98" s="89" t="s">
        <v>142</v>
      </c>
      <c r="S98" s="89" t="s">
        <v>143</v>
      </c>
      <c r="T98" s="89" t="s">
        <v>142</v>
      </c>
      <c r="U98" s="89" t="s">
        <v>380</v>
      </c>
      <c r="AG98" s="89" t="s">
        <v>176</v>
      </c>
      <c r="AH98" s="114" t="s">
        <v>177</v>
      </c>
      <c r="AK98" s="84" t="s">
        <v>1329</v>
      </c>
      <c r="AL98" s="113" t="s">
        <v>360</v>
      </c>
      <c r="AM98" s="89" t="s">
        <v>144</v>
      </c>
      <c r="AN98" s="89" t="s">
        <v>144</v>
      </c>
      <c r="AO98" s="12" t="s">
        <v>141</v>
      </c>
      <c r="AP98" s="89" t="s">
        <v>141</v>
      </c>
      <c r="AQ98" s="12" t="s">
        <v>0</v>
      </c>
      <c r="AR98" s="89" t="s">
        <v>38</v>
      </c>
      <c r="AS98" s="12" t="s">
        <v>142</v>
      </c>
      <c r="AT98" s="89" t="s">
        <v>145</v>
      </c>
      <c r="AU98" s="12" t="s">
        <v>362</v>
      </c>
      <c r="AV98" s="12" t="s">
        <v>142</v>
      </c>
      <c r="AY98" s="32">
        <v>107.5</v>
      </c>
      <c r="BA98" s="4"/>
    </row>
    <row r="99" spans="1:53" s="89" customFormat="1" ht="12" customHeight="1" x14ac:dyDescent="0.15">
      <c r="A99" s="89" t="s">
        <v>132</v>
      </c>
      <c r="B99" s="111">
        <v>201213</v>
      </c>
      <c r="C99" s="208" t="s">
        <v>1513</v>
      </c>
      <c r="D99" s="199" t="s">
        <v>263</v>
      </c>
      <c r="E99" s="89" t="s">
        <v>140</v>
      </c>
      <c r="F99" s="12" t="s">
        <v>140</v>
      </c>
      <c r="G99" s="12" t="s">
        <v>141</v>
      </c>
      <c r="H99" s="89" t="s">
        <v>141</v>
      </c>
      <c r="I99" s="12" t="s">
        <v>12</v>
      </c>
      <c r="J99" s="12" t="s">
        <v>0</v>
      </c>
      <c r="K99" s="12" t="s">
        <v>38</v>
      </c>
      <c r="L99" s="12"/>
      <c r="M99" s="12" t="s">
        <v>361</v>
      </c>
      <c r="N99" s="12" t="s">
        <v>146</v>
      </c>
      <c r="O99" s="89" t="s">
        <v>175</v>
      </c>
      <c r="Q99" s="89" t="s">
        <v>145</v>
      </c>
      <c r="R99" s="89" t="s">
        <v>142</v>
      </c>
      <c r="S99" s="89" t="s">
        <v>143</v>
      </c>
      <c r="T99" s="89" t="s">
        <v>142</v>
      </c>
      <c r="U99" s="89" t="s">
        <v>380</v>
      </c>
      <c r="AG99" s="89" t="s">
        <v>176</v>
      </c>
      <c r="AH99" s="114" t="s">
        <v>177</v>
      </c>
      <c r="AK99" s="84" t="s">
        <v>1330</v>
      </c>
      <c r="AL99" s="113" t="s">
        <v>330</v>
      </c>
      <c r="AM99" s="89" t="s">
        <v>144</v>
      </c>
      <c r="AN99" s="89" t="s">
        <v>144</v>
      </c>
      <c r="AO99" s="12" t="s">
        <v>141</v>
      </c>
      <c r="AP99" s="89" t="s">
        <v>141</v>
      </c>
      <c r="AQ99" s="12" t="s">
        <v>0</v>
      </c>
      <c r="AR99" s="89" t="s">
        <v>38</v>
      </c>
      <c r="AS99" s="12" t="s">
        <v>142</v>
      </c>
      <c r="AT99" s="89" t="s">
        <v>145</v>
      </c>
      <c r="AU99" s="12" t="s">
        <v>362</v>
      </c>
      <c r="AV99" s="12" t="s">
        <v>142</v>
      </c>
      <c r="AY99" s="32">
        <v>107.5</v>
      </c>
      <c r="BA99" s="4"/>
    </row>
    <row r="100" spans="1:53" s="89" customFormat="1" ht="12" customHeight="1" x14ac:dyDescent="0.15">
      <c r="A100" s="89" t="s">
        <v>342</v>
      </c>
      <c r="B100" s="111">
        <v>201224</v>
      </c>
      <c r="C100" s="208" t="s">
        <v>1514</v>
      </c>
      <c r="D100" s="199" t="s">
        <v>264</v>
      </c>
      <c r="E100" s="89" t="s">
        <v>140</v>
      </c>
      <c r="F100" s="12" t="s">
        <v>140</v>
      </c>
      <c r="G100" s="12" t="s">
        <v>141</v>
      </c>
      <c r="H100" s="89" t="s">
        <v>141</v>
      </c>
      <c r="I100" s="12" t="s">
        <v>12</v>
      </c>
      <c r="J100" s="12" t="s">
        <v>0</v>
      </c>
      <c r="K100" s="12" t="s">
        <v>38</v>
      </c>
      <c r="L100" s="12"/>
      <c r="M100" s="12" t="s">
        <v>361</v>
      </c>
      <c r="N100" s="12" t="s">
        <v>146</v>
      </c>
      <c r="O100" s="89" t="s">
        <v>175</v>
      </c>
      <c r="Q100" s="89" t="s">
        <v>145</v>
      </c>
      <c r="R100" s="89" t="s">
        <v>142</v>
      </c>
      <c r="S100" s="89" t="s">
        <v>143</v>
      </c>
      <c r="T100" s="89" t="s">
        <v>142</v>
      </c>
      <c r="U100" s="89" t="s">
        <v>380</v>
      </c>
      <c r="AG100" s="89" t="s">
        <v>176</v>
      </c>
      <c r="AH100" s="114" t="s">
        <v>177</v>
      </c>
      <c r="AK100" s="84" t="s">
        <v>1331</v>
      </c>
      <c r="AL100" s="113" t="s">
        <v>331</v>
      </c>
      <c r="AM100" s="89" t="s">
        <v>144</v>
      </c>
      <c r="AN100" s="89" t="s">
        <v>144</v>
      </c>
      <c r="AO100" s="12" t="s">
        <v>141</v>
      </c>
      <c r="AP100" s="89" t="s">
        <v>141</v>
      </c>
      <c r="AQ100" s="12" t="s">
        <v>0</v>
      </c>
      <c r="AR100" s="89" t="s">
        <v>38</v>
      </c>
      <c r="AS100" s="12" t="s">
        <v>142</v>
      </c>
      <c r="AT100" s="89" t="s">
        <v>145</v>
      </c>
      <c r="AU100" s="12" t="s">
        <v>362</v>
      </c>
      <c r="AV100" s="12" t="s">
        <v>142</v>
      </c>
      <c r="AY100" s="32">
        <v>107.5</v>
      </c>
      <c r="BA100" s="4"/>
    </row>
    <row r="101" spans="1:53" s="89" customFormat="1" ht="12" customHeight="1" x14ac:dyDescent="0.15">
      <c r="A101" s="89" t="s">
        <v>343</v>
      </c>
      <c r="B101" s="111">
        <v>201142</v>
      </c>
      <c r="C101" s="208" t="s">
        <v>1515</v>
      </c>
      <c r="D101" s="199" t="s">
        <v>265</v>
      </c>
      <c r="E101" s="89" t="s">
        <v>140</v>
      </c>
      <c r="F101" s="12" t="s">
        <v>140</v>
      </c>
      <c r="G101" s="12" t="s">
        <v>141</v>
      </c>
      <c r="H101" s="89" t="s">
        <v>141</v>
      </c>
      <c r="I101" s="12" t="s">
        <v>12</v>
      </c>
      <c r="J101" s="12" t="s">
        <v>0</v>
      </c>
      <c r="K101" s="12" t="s">
        <v>38</v>
      </c>
      <c r="L101" s="12"/>
      <c r="M101" s="12" t="s">
        <v>361</v>
      </c>
      <c r="N101" s="12" t="s">
        <v>146</v>
      </c>
      <c r="O101" s="89" t="s">
        <v>175</v>
      </c>
      <c r="Q101" s="89" t="s">
        <v>145</v>
      </c>
      <c r="R101" s="89" t="s">
        <v>142</v>
      </c>
      <c r="S101" s="89" t="s">
        <v>143</v>
      </c>
      <c r="T101" s="89" t="s">
        <v>142</v>
      </c>
      <c r="U101" s="89" t="s">
        <v>380</v>
      </c>
      <c r="AG101" s="89" t="s">
        <v>176</v>
      </c>
      <c r="AH101" s="114" t="s">
        <v>177</v>
      </c>
      <c r="AK101" s="84" t="s">
        <v>1332</v>
      </c>
      <c r="AL101" s="113" t="s">
        <v>332</v>
      </c>
      <c r="AM101" s="89" t="s">
        <v>144</v>
      </c>
      <c r="AN101" s="89" t="s">
        <v>144</v>
      </c>
      <c r="AO101" s="12" t="s">
        <v>141</v>
      </c>
      <c r="AP101" s="89" t="s">
        <v>141</v>
      </c>
      <c r="AQ101" s="12" t="s">
        <v>0</v>
      </c>
      <c r="AR101" s="89" t="s">
        <v>38</v>
      </c>
      <c r="AS101" s="12" t="s">
        <v>142</v>
      </c>
      <c r="AT101" s="89" t="s">
        <v>145</v>
      </c>
      <c r="AU101" s="12" t="s">
        <v>362</v>
      </c>
      <c r="AV101" s="12" t="s">
        <v>142</v>
      </c>
      <c r="AY101" s="32">
        <v>107.5</v>
      </c>
      <c r="BA101" s="4"/>
    </row>
    <row r="102" spans="1:53" s="89" customFormat="1" ht="12" customHeight="1" x14ac:dyDescent="0.15">
      <c r="A102" s="89" t="s">
        <v>13</v>
      </c>
      <c r="B102" s="111">
        <v>201245</v>
      </c>
      <c r="C102" s="208" t="s">
        <v>1516</v>
      </c>
      <c r="D102" s="199" t="s">
        <v>266</v>
      </c>
      <c r="E102" s="89" t="s">
        <v>140</v>
      </c>
      <c r="F102" s="12" t="s">
        <v>140</v>
      </c>
      <c r="G102" s="12" t="s">
        <v>141</v>
      </c>
      <c r="H102" s="89" t="s">
        <v>141</v>
      </c>
      <c r="I102" s="12" t="s">
        <v>12</v>
      </c>
      <c r="J102" s="12" t="s">
        <v>0</v>
      </c>
      <c r="K102" s="12" t="s">
        <v>38</v>
      </c>
      <c r="L102" s="12"/>
      <c r="M102" s="12" t="s">
        <v>361</v>
      </c>
      <c r="N102" s="12" t="s">
        <v>146</v>
      </c>
      <c r="O102" s="89" t="s">
        <v>175</v>
      </c>
      <c r="Q102" s="89" t="s">
        <v>145</v>
      </c>
      <c r="R102" s="89" t="s">
        <v>142</v>
      </c>
      <c r="S102" s="89" t="s">
        <v>143</v>
      </c>
      <c r="T102" s="89" t="s">
        <v>142</v>
      </c>
      <c r="U102" s="89" t="s">
        <v>380</v>
      </c>
      <c r="AG102" s="89" t="s">
        <v>176</v>
      </c>
      <c r="AH102" s="114" t="s">
        <v>177</v>
      </c>
      <c r="AK102" s="84" t="s">
        <v>1333</v>
      </c>
      <c r="AL102" s="113" t="s">
        <v>333</v>
      </c>
      <c r="AM102" s="89" t="s">
        <v>144</v>
      </c>
      <c r="AN102" s="89" t="s">
        <v>144</v>
      </c>
      <c r="AO102" s="12" t="s">
        <v>141</v>
      </c>
      <c r="AP102" s="89" t="s">
        <v>141</v>
      </c>
      <c r="AQ102" s="12" t="s">
        <v>0</v>
      </c>
      <c r="AR102" s="89" t="s">
        <v>38</v>
      </c>
      <c r="AS102" s="12" t="s">
        <v>142</v>
      </c>
      <c r="AT102" s="89" t="s">
        <v>145</v>
      </c>
      <c r="AU102" s="12" t="s">
        <v>362</v>
      </c>
      <c r="AV102" s="12" t="s">
        <v>142</v>
      </c>
      <c r="AY102" s="32">
        <v>107.5</v>
      </c>
      <c r="BA102" s="4"/>
    </row>
    <row r="103" spans="1:53" s="89" customFormat="1" ht="12" customHeight="1" x14ac:dyDescent="0.15">
      <c r="A103" s="89" t="s">
        <v>133</v>
      </c>
      <c r="B103" s="111">
        <v>201246</v>
      </c>
      <c r="C103" s="208" t="s">
        <v>1517</v>
      </c>
      <c r="D103" s="199" t="s">
        <v>267</v>
      </c>
      <c r="E103" s="89" t="s">
        <v>140</v>
      </c>
      <c r="F103" s="12" t="s">
        <v>140</v>
      </c>
      <c r="G103" s="12" t="s">
        <v>141</v>
      </c>
      <c r="H103" s="89" t="s">
        <v>141</v>
      </c>
      <c r="I103" s="12" t="s">
        <v>12</v>
      </c>
      <c r="J103" s="12" t="s">
        <v>0</v>
      </c>
      <c r="K103" s="12" t="s">
        <v>38</v>
      </c>
      <c r="L103" s="12"/>
      <c r="M103" s="12" t="s">
        <v>361</v>
      </c>
      <c r="N103" s="12" t="s">
        <v>146</v>
      </c>
      <c r="O103" s="89" t="s">
        <v>175</v>
      </c>
      <c r="Q103" s="89" t="s">
        <v>145</v>
      </c>
      <c r="R103" s="89" t="s">
        <v>142</v>
      </c>
      <c r="S103" s="89" t="s">
        <v>143</v>
      </c>
      <c r="T103" s="89" t="s">
        <v>142</v>
      </c>
      <c r="U103" s="89" t="s">
        <v>380</v>
      </c>
      <c r="AG103" s="89" t="s">
        <v>176</v>
      </c>
      <c r="AH103" s="114" t="s">
        <v>177</v>
      </c>
      <c r="AK103" s="84" t="s">
        <v>1334</v>
      </c>
      <c r="AL103" s="113" t="s">
        <v>382</v>
      </c>
      <c r="AM103" s="89" t="s">
        <v>144</v>
      </c>
      <c r="AN103" s="89" t="s">
        <v>144</v>
      </c>
      <c r="AO103" s="12" t="s">
        <v>141</v>
      </c>
      <c r="AP103" s="89" t="s">
        <v>141</v>
      </c>
      <c r="AQ103" s="12" t="s">
        <v>0</v>
      </c>
      <c r="AR103" s="89" t="s">
        <v>38</v>
      </c>
      <c r="AS103" s="12" t="s">
        <v>142</v>
      </c>
      <c r="AT103" s="89" t="s">
        <v>145</v>
      </c>
      <c r="AU103" s="12" t="s">
        <v>362</v>
      </c>
      <c r="AV103" s="12" t="s">
        <v>142</v>
      </c>
      <c r="AY103" s="32">
        <v>107.5</v>
      </c>
      <c r="BA103" s="4"/>
    </row>
    <row r="104" spans="1:53" s="89" customFormat="1" ht="12" customHeight="1" x14ac:dyDescent="0.15">
      <c r="A104" s="89" t="s">
        <v>134</v>
      </c>
      <c r="B104" s="111">
        <v>201258</v>
      </c>
      <c r="C104" s="208" t="s">
        <v>1518</v>
      </c>
      <c r="D104" s="199" t="s">
        <v>268</v>
      </c>
      <c r="E104" s="89" t="s">
        <v>140</v>
      </c>
      <c r="F104" s="12" t="s">
        <v>140</v>
      </c>
      <c r="G104" s="12" t="s">
        <v>141</v>
      </c>
      <c r="H104" s="89" t="s">
        <v>141</v>
      </c>
      <c r="I104" s="12" t="s">
        <v>12</v>
      </c>
      <c r="J104" s="12" t="s">
        <v>0</v>
      </c>
      <c r="K104" s="12" t="s">
        <v>38</v>
      </c>
      <c r="L104" s="12"/>
      <c r="M104" s="12" t="s">
        <v>361</v>
      </c>
      <c r="N104" s="12" t="s">
        <v>146</v>
      </c>
      <c r="O104" s="89" t="s">
        <v>175</v>
      </c>
      <c r="Q104" s="89" t="s">
        <v>145</v>
      </c>
      <c r="R104" s="89" t="s">
        <v>142</v>
      </c>
      <c r="S104" s="89" t="s">
        <v>143</v>
      </c>
      <c r="T104" s="89" t="s">
        <v>142</v>
      </c>
      <c r="U104" s="89" t="s">
        <v>380</v>
      </c>
      <c r="AG104" s="89" t="s">
        <v>176</v>
      </c>
      <c r="AH104" s="114" t="s">
        <v>177</v>
      </c>
      <c r="AK104" s="84" t="s">
        <v>1335</v>
      </c>
      <c r="AL104" s="113" t="s">
        <v>334</v>
      </c>
      <c r="AM104" s="89" t="s">
        <v>144</v>
      </c>
      <c r="AN104" s="89" t="s">
        <v>144</v>
      </c>
      <c r="AO104" s="12" t="s">
        <v>141</v>
      </c>
      <c r="AP104" s="89" t="s">
        <v>141</v>
      </c>
      <c r="AQ104" s="12" t="s">
        <v>0</v>
      </c>
      <c r="AR104" s="89" t="s">
        <v>38</v>
      </c>
      <c r="AS104" s="12" t="s">
        <v>142</v>
      </c>
      <c r="AT104" s="89" t="s">
        <v>145</v>
      </c>
      <c r="AU104" s="12" t="s">
        <v>362</v>
      </c>
      <c r="AV104" s="12" t="s">
        <v>142</v>
      </c>
      <c r="AY104" s="32">
        <v>107.5</v>
      </c>
      <c r="BA104" s="4"/>
    </row>
    <row r="105" spans="1:53" s="89" customFormat="1" ht="12" customHeight="1" x14ac:dyDescent="0.15">
      <c r="A105" s="89" t="s">
        <v>135</v>
      </c>
      <c r="B105" s="111">
        <v>201408</v>
      </c>
      <c r="C105" s="208" t="s">
        <v>1519</v>
      </c>
      <c r="D105" s="199" t="s">
        <v>269</v>
      </c>
      <c r="E105" s="89" t="s">
        <v>140</v>
      </c>
      <c r="F105" s="12" t="s">
        <v>140</v>
      </c>
      <c r="G105" s="12" t="s">
        <v>141</v>
      </c>
      <c r="H105" s="89" t="s">
        <v>141</v>
      </c>
      <c r="I105" s="12" t="s">
        <v>12</v>
      </c>
      <c r="J105" s="12" t="s">
        <v>0</v>
      </c>
      <c r="K105" s="12" t="s">
        <v>38</v>
      </c>
      <c r="L105" s="12"/>
      <c r="M105" s="12" t="s">
        <v>361</v>
      </c>
      <c r="N105" s="12" t="s">
        <v>146</v>
      </c>
      <c r="O105" s="89" t="s">
        <v>175</v>
      </c>
      <c r="Q105" s="89" t="s">
        <v>145</v>
      </c>
      <c r="R105" s="89" t="s">
        <v>142</v>
      </c>
      <c r="S105" s="89" t="s">
        <v>143</v>
      </c>
      <c r="T105" s="89" t="s">
        <v>142</v>
      </c>
      <c r="U105" s="89" t="s">
        <v>380</v>
      </c>
      <c r="AG105" s="89" t="s">
        <v>176</v>
      </c>
      <c r="AH105" s="114" t="s">
        <v>177</v>
      </c>
      <c r="AK105" s="84" t="s">
        <v>1336</v>
      </c>
      <c r="AL105" s="113" t="s">
        <v>335</v>
      </c>
      <c r="AM105" s="89" t="s">
        <v>144</v>
      </c>
      <c r="AN105" s="89" t="s">
        <v>144</v>
      </c>
      <c r="AO105" s="12" t="s">
        <v>141</v>
      </c>
      <c r="AP105" s="89" t="s">
        <v>141</v>
      </c>
      <c r="AQ105" s="12" t="s">
        <v>0</v>
      </c>
      <c r="AR105" s="89" t="s">
        <v>38</v>
      </c>
      <c r="AS105" s="12" t="s">
        <v>142</v>
      </c>
      <c r="AT105" s="89" t="s">
        <v>145</v>
      </c>
      <c r="AU105" s="12" t="s">
        <v>362</v>
      </c>
      <c r="AV105" s="12" t="s">
        <v>142</v>
      </c>
      <c r="AY105" s="32">
        <v>107.5</v>
      </c>
      <c r="BA105" s="4"/>
    </row>
    <row r="106" spans="1:53" s="89" customFormat="1" ht="12" customHeight="1" x14ac:dyDescent="0.15">
      <c r="A106" s="89" t="s">
        <v>344</v>
      </c>
      <c r="B106" s="111">
        <v>201409</v>
      </c>
      <c r="C106" s="208" t="s">
        <v>1520</v>
      </c>
      <c r="D106" s="199" t="s">
        <v>1238</v>
      </c>
      <c r="E106" s="89" t="s">
        <v>140</v>
      </c>
      <c r="F106" s="12" t="s">
        <v>140</v>
      </c>
      <c r="G106" s="12" t="s">
        <v>141</v>
      </c>
      <c r="H106" s="89" t="s">
        <v>141</v>
      </c>
      <c r="I106" s="12" t="s">
        <v>12</v>
      </c>
      <c r="J106" s="12" t="s">
        <v>0</v>
      </c>
      <c r="K106" s="12" t="s">
        <v>38</v>
      </c>
      <c r="L106" s="12"/>
      <c r="M106" s="12" t="s">
        <v>361</v>
      </c>
      <c r="N106" s="12" t="s">
        <v>146</v>
      </c>
      <c r="O106" s="89" t="s">
        <v>175</v>
      </c>
      <c r="Q106" s="89" t="s">
        <v>145</v>
      </c>
      <c r="R106" s="89" t="s">
        <v>142</v>
      </c>
      <c r="S106" s="89" t="s">
        <v>143</v>
      </c>
      <c r="T106" s="89" t="s">
        <v>142</v>
      </c>
      <c r="U106" s="89" t="s">
        <v>380</v>
      </c>
      <c r="AG106" s="89" t="s">
        <v>176</v>
      </c>
      <c r="AH106" s="114" t="s">
        <v>177</v>
      </c>
      <c r="AK106" s="84" t="s">
        <v>1337</v>
      </c>
      <c r="AL106" s="113" t="s">
        <v>336</v>
      </c>
      <c r="AM106" s="89" t="s">
        <v>144</v>
      </c>
      <c r="AN106" s="89" t="s">
        <v>144</v>
      </c>
      <c r="AO106" s="12" t="s">
        <v>141</v>
      </c>
      <c r="AP106" s="89" t="s">
        <v>141</v>
      </c>
      <c r="AQ106" s="12" t="s">
        <v>0</v>
      </c>
      <c r="AR106" s="89" t="s">
        <v>38</v>
      </c>
      <c r="AS106" s="12" t="s">
        <v>142</v>
      </c>
      <c r="AT106" s="89" t="s">
        <v>145</v>
      </c>
      <c r="AU106" s="12" t="s">
        <v>362</v>
      </c>
      <c r="AV106" s="12" t="s">
        <v>142</v>
      </c>
      <c r="AY106" s="32">
        <v>107.5</v>
      </c>
      <c r="BA106" s="4"/>
    </row>
    <row r="107" spans="1:53" s="89" customFormat="1" ht="12" customHeight="1" x14ac:dyDescent="0.15">
      <c r="A107" s="89" t="s">
        <v>136</v>
      </c>
      <c r="B107" s="111">
        <v>201279</v>
      </c>
      <c r="C107" s="208" t="s">
        <v>1521</v>
      </c>
      <c r="D107" s="199" t="s">
        <v>270</v>
      </c>
      <c r="E107" s="89" t="s">
        <v>140</v>
      </c>
      <c r="F107" s="12" t="s">
        <v>140</v>
      </c>
      <c r="G107" s="12" t="s">
        <v>141</v>
      </c>
      <c r="H107" s="89" t="s">
        <v>141</v>
      </c>
      <c r="I107" s="12" t="s">
        <v>12</v>
      </c>
      <c r="J107" s="12" t="s">
        <v>0</v>
      </c>
      <c r="K107" s="12" t="s">
        <v>38</v>
      </c>
      <c r="L107" s="12"/>
      <c r="M107" s="12" t="s">
        <v>361</v>
      </c>
      <c r="N107" s="12" t="s">
        <v>146</v>
      </c>
      <c r="O107" s="89" t="s">
        <v>175</v>
      </c>
      <c r="Q107" s="89" t="s">
        <v>145</v>
      </c>
      <c r="R107" s="89" t="s">
        <v>142</v>
      </c>
      <c r="S107" s="89" t="s">
        <v>143</v>
      </c>
      <c r="T107" s="89" t="s">
        <v>142</v>
      </c>
      <c r="U107" s="89" t="s">
        <v>380</v>
      </c>
      <c r="AG107" s="89" t="s">
        <v>176</v>
      </c>
      <c r="AH107" s="114" t="s">
        <v>177</v>
      </c>
      <c r="AK107" s="84" t="s">
        <v>1338</v>
      </c>
      <c r="AL107" s="113" t="s">
        <v>337</v>
      </c>
      <c r="AM107" s="89" t="s">
        <v>144</v>
      </c>
      <c r="AN107" s="89" t="s">
        <v>144</v>
      </c>
      <c r="AO107" s="12" t="s">
        <v>141</v>
      </c>
      <c r="AP107" s="89" t="s">
        <v>141</v>
      </c>
      <c r="AQ107" s="12" t="s">
        <v>0</v>
      </c>
      <c r="AR107" s="89" t="s">
        <v>38</v>
      </c>
      <c r="AS107" s="12" t="s">
        <v>142</v>
      </c>
      <c r="AT107" s="89" t="s">
        <v>145</v>
      </c>
      <c r="AU107" s="12" t="s">
        <v>362</v>
      </c>
      <c r="AV107" s="12" t="s">
        <v>142</v>
      </c>
      <c r="AY107" s="32">
        <v>107.5</v>
      </c>
      <c r="BA107" s="4"/>
    </row>
    <row r="108" spans="1:53" s="89" customFormat="1" ht="12" customHeight="1" x14ac:dyDescent="0.15">
      <c r="A108" s="89" t="s">
        <v>182</v>
      </c>
      <c r="B108" s="111">
        <v>201278</v>
      </c>
      <c r="C108" s="208" t="s">
        <v>1522</v>
      </c>
      <c r="D108" s="201" t="s">
        <v>271</v>
      </c>
      <c r="E108" s="89" t="s">
        <v>140</v>
      </c>
      <c r="F108" s="12" t="s">
        <v>140</v>
      </c>
      <c r="G108" s="12" t="s">
        <v>141</v>
      </c>
      <c r="H108" s="89" t="s">
        <v>141</v>
      </c>
      <c r="I108" s="12" t="s">
        <v>12</v>
      </c>
      <c r="J108" s="12" t="s">
        <v>0</v>
      </c>
      <c r="K108" s="12" t="s">
        <v>38</v>
      </c>
      <c r="L108" s="12"/>
      <c r="M108" s="12" t="s">
        <v>361</v>
      </c>
      <c r="N108" s="12" t="s">
        <v>146</v>
      </c>
      <c r="O108" s="89" t="s">
        <v>175</v>
      </c>
      <c r="Q108" s="89" t="s">
        <v>145</v>
      </c>
      <c r="R108" s="89" t="s">
        <v>142</v>
      </c>
      <c r="S108" s="89" t="s">
        <v>143</v>
      </c>
      <c r="T108" s="89" t="s">
        <v>142</v>
      </c>
      <c r="U108" s="89" t="s">
        <v>380</v>
      </c>
      <c r="AG108" s="89" t="s">
        <v>176</v>
      </c>
      <c r="AH108" s="114" t="s">
        <v>177</v>
      </c>
      <c r="AK108" s="84" t="s">
        <v>1339</v>
      </c>
      <c r="AL108" s="118" t="s">
        <v>338</v>
      </c>
      <c r="AM108" s="89" t="s">
        <v>144</v>
      </c>
      <c r="AN108" s="89" t="s">
        <v>144</v>
      </c>
      <c r="AO108" s="12" t="s">
        <v>141</v>
      </c>
      <c r="AP108" s="89" t="s">
        <v>141</v>
      </c>
      <c r="AQ108" s="12" t="s">
        <v>0</v>
      </c>
      <c r="AR108" s="89" t="s">
        <v>38</v>
      </c>
      <c r="AS108" s="12" t="s">
        <v>142</v>
      </c>
      <c r="AT108" s="89" t="s">
        <v>145</v>
      </c>
      <c r="AU108" s="12" t="s">
        <v>362</v>
      </c>
      <c r="AV108" s="12" t="s">
        <v>142</v>
      </c>
      <c r="AY108" s="32">
        <v>107.5</v>
      </c>
      <c r="BA108" s="4"/>
    </row>
    <row r="109" spans="1:53" s="89" customFormat="1" ht="12" customHeight="1" x14ac:dyDescent="0.15">
      <c r="A109" s="89" t="s">
        <v>183</v>
      </c>
      <c r="B109" s="111">
        <v>201287</v>
      </c>
      <c r="C109" s="208" t="s">
        <v>1523</v>
      </c>
      <c r="D109" s="199" t="s">
        <v>272</v>
      </c>
      <c r="E109" s="89" t="s">
        <v>140</v>
      </c>
      <c r="F109" s="12" t="s">
        <v>140</v>
      </c>
      <c r="G109" s="12" t="s">
        <v>141</v>
      </c>
      <c r="H109" s="89" t="s">
        <v>141</v>
      </c>
      <c r="I109" s="12" t="s">
        <v>12</v>
      </c>
      <c r="J109" s="12" t="s">
        <v>0</v>
      </c>
      <c r="K109" s="12" t="s">
        <v>38</v>
      </c>
      <c r="L109" s="12"/>
      <c r="M109" s="12" t="s">
        <v>361</v>
      </c>
      <c r="N109" s="12" t="s">
        <v>146</v>
      </c>
      <c r="O109" s="89" t="s">
        <v>175</v>
      </c>
      <c r="Q109" s="89" t="s">
        <v>145</v>
      </c>
      <c r="R109" s="89" t="s">
        <v>142</v>
      </c>
      <c r="S109" s="89" t="s">
        <v>143</v>
      </c>
      <c r="T109" s="89" t="s">
        <v>142</v>
      </c>
      <c r="U109" s="89" t="s">
        <v>380</v>
      </c>
      <c r="AG109" s="89" t="s">
        <v>176</v>
      </c>
      <c r="AH109" s="114" t="s">
        <v>177</v>
      </c>
      <c r="AK109" s="84" t="s">
        <v>1340</v>
      </c>
      <c r="AL109" s="113" t="s">
        <v>385</v>
      </c>
      <c r="AM109" s="89" t="s">
        <v>144</v>
      </c>
      <c r="AN109" s="89" t="s">
        <v>144</v>
      </c>
      <c r="AO109" s="12" t="s">
        <v>141</v>
      </c>
      <c r="AP109" s="89" t="s">
        <v>141</v>
      </c>
      <c r="AQ109" s="12" t="s">
        <v>0</v>
      </c>
      <c r="AR109" s="89" t="s">
        <v>38</v>
      </c>
      <c r="AS109" s="12" t="s">
        <v>142</v>
      </c>
      <c r="AT109" s="89" t="s">
        <v>145</v>
      </c>
      <c r="AU109" s="12" t="s">
        <v>362</v>
      </c>
      <c r="AV109" s="12" t="s">
        <v>142</v>
      </c>
      <c r="AY109" s="32">
        <v>107.5</v>
      </c>
      <c r="BA109" s="4"/>
    </row>
    <row r="110" spans="1:53" s="89" customFormat="1" ht="12" customHeight="1" x14ac:dyDescent="0.15">
      <c r="A110" s="89" t="s">
        <v>184</v>
      </c>
      <c r="B110" s="111">
        <v>201288</v>
      </c>
      <c r="C110" s="208" t="s">
        <v>1524</v>
      </c>
      <c r="D110" s="199" t="s">
        <v>273</v>
      </c>
      <c r="E110" s="89" t="s">
        <v>140</v>
      </c>
      <c r="F110" s="12" t="s">
        <v>140</v>
      </c>
      <c r="G110" s="12" t="s">
        <v>141</v>
      </c>
      <c r="H110" s="89" t="s">
        <v>141</v>
      </c>
      <c r="I110" s="12" t="s">
        <v>12</v>
      </c>
      <c r="J110" s="12" t="s">
        <v>0</v>
      </c>
      <c r="K110" s="12" t="s">
        <v>38</v>
      </c>
      <c r="L110" s="12"/>
      <c r="M110" s="12" t="s">
        <v>361</v>
      </c>
      <c r="N110" s="12" t="s">
        <v>146</v>
      </c>
      <c r="O110" s="89" t="s">
        <v>175</v>
      </c>
      <c r="Q110" s="89" t="s">
        <v>145</v>
      </c>
      <c r="R110" s="89" t="s">
        <v>142</v>
      </c>
      <c r="S110" s="89" t="s">
        <v>143</v>
      </c>
      <c r="T110" s="89" t="s">
        <v>142</v>
      </c>
      <c r="U110" s="89" t="s">
        <v>380</v>
      </c>
      <c r="AG110" s="89" t="s">
        <v>176</v>
      </c>
      <c r="AH110" s="114" t="s">
        <v>177</v>
      </c>
      <c r="AK110" s="84" t="s">
        <v>1341</v>
      </c>
      <c r="AL110" s="117" t="s">
        <v>339</v>
      </c>
      <c r="AM110" s="89" t="s">
        <v>144</v>
      </c>
      <c r="AN110" s="89" t="s">
        <v>144</v>
      </c>
      <c r="AO110" s="12" t="s">
        <v>141</v>
      </c>
      <c r="AP110" s="89" t="s">
        <v>141</v>
      </c>
      <c r="AQ110" s="12" t="s">
        <v>0</v>
      </c>
      <c r="AR110" s="89" t="s">
        <v>38</v>
      </c>
      <c r="AS110" s="12" t="s">
        <v>142</v>
      </c>
      <c r="AT110" s="89" t="s">
        <v>145</v>
      </c>
      <c r="AU110" s="12" t="s">
        <v>362</v>
      </c>
      <c r="AV110" s="12" t="s">
        <v>142</v>
      </c>
      <c r="AY110" s="32">
        <v>107.5</v>
      </c>
      <c r="BA110" s="4"/>
    </row>
    <row r="111" spans="1:53" s="115" customFormat="1" ht="12" customHeight="1" x14ac:dyDescent="0.15">
      <c r="A111" s="89" t="s">
        <v>185</v>
      </c>
      <c r="B111" s="111">
        <v>201300</v>
      </c>
      <c r="C111" s="208" t="s">
        <v>1525</v>
      </c>
      <c r="D111" s="199" t="s">
        <v>280</v>
      </c>
      <c r="E111" s="115" t="s">
        <v>140</v>
      </c>
      <c r="F111" s="115" t="s">
        <v>140</v>
      </c>
      <c r="G111" s="115" t="s">
        <v>141</v>
      </c>
      <c r="H111" s="115" t="s">
        <v>141</v>
      </c>
      <c r="I111" s="115" t="s">
        <v>12</v>
      </c>
      <c r="J111" s="115" t="s">
        <v>0</v>
      </c>
      <c r="K111" s="115" t="s">
        <v>38</v>
      </c>
      <c r="M111" s="12" t="s">
        <v>361</v>
      </c>
      <c r="N111" s="12" t="s">
        <v>146</v>
      </c>
      <c r="O111" s="115" t="s">
        <v>175</v>
      </c>
      <c r="Q111" s="115" t="s">
        <v>145</v>
      </c>
      <c r="R111" s="115" t="s">
        <v>142</v>
      </c>
      <c r="S111" s="115" t="s">
        <v>143</v>
      </c>
      <c r="T111" s="115" t="s">
        <v>142</v>
      </c>
      <c r="U111" s="89" t="s">
        <v>380</v>
      </c>
      <c r="AG111" s="115" t="s">
        <v>176</v>
      </c>
      <c r="AH111" s="115" t="s">
        <v>177</v>
      </c>
      <c r="AK111" s="84" t="s">
        <v>1342</v>
      </c>
      <c r="AL111" s="117" t="s">
        <v>340</v>
      </c>
      <c r="AM111" s="115" t="s">
        <v>144</v>
      </c>
      <c r="AN111" s="115" t="s">
        <v>144</v>
      </c>
      <c r="AO111" s="115" t="s">
        <v>141</v>
      </c>
      <c r="AP111" s="115" t="s">
        <v>141</v>
      </c>
      <c r="AQ111" s="115" t="s">
        <v>0</v>
      </c>
      <c r="AR111" s="115" t="s">
        <v>38</v>
      </c>
      <c r="AS111" s="115" t="s">
        <v>142</v>
      </c>
      <c r="AT111" s="115" t="s">
        <v>145</v>
      </c>
      <c r="AU111" s="12" t="s">
        <v>362</v>
      </c>
      <c r="AV111" s="115" t="s">
        <v>142</v>
      </c>
      <c r="AY111" s="32">
        <v>107.5</v>
      </c>
      <c r="BA111" s="4"/>
    </row>
    <row r="112" spans="1:53" s="89" customFormat="1" ht="12" customHeight="1" x14ac:dyDescent="0.15">
      <c r="A112" s="89" t="s">
        <v>190</v>
      </c>
      <c r="B112" s="111">
        <v>201297</v>
      </c>
      <c r="C112" s="208" t="s">
        <v>1526</v>
      </c>
      <c r="D112" s="199" t="s">
        <v>1124</v>
      </c>
      <c r="E112" s="115" t="s">
        <v>140</v>
      </c>
      <c r="F112" s="115" t="s">
        <v>140</v>
      </c>
      <c r="G112" s="115" t="s">
        <v>141</v>
      </c>
      <c r="H112" s="115" t="s">
        <v>141</v>
      </c>
      <c r="I112" s="115" t="s">
        <v>12</v>
      </c>
      <c r="J112" s="115" t="s">
        <v>0</v>
      </c>
      <c r="K112" s="115" t="s">
        <v>38</v>
      </c>
      <c r="L112" s="115"/>
      <c r="M112" s="12" t="s">
        <v>196</v>
      </c>
      <c r="N112" s="115" t="s">
        <v>142</v>
      </c>
      <c r="O112" s="115" t="s">
        <v>175</v>
      </c>
      <c r="P112" s="115"/>
      <c r="Q112" s="115" t="s">
        <v>145</v>
      </c>
      <c r="R112" s="115" t="s">
        <v>142</v>
      </c>
      <c r="S112" s="115" t="s">
        <v>143</v>
      </c>
      <c r="T112" s="115" t="s">
        <v>142</v>
      </c>
      <c r="U112" s="89" t="s">
        <v>380</v>
      </c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 t="s">
        <v>176</v>
      </c>
      <c r="AH112" s="115" t="s">
        <v>177</v>
      </c>
      <c r="AI112" s="115"/>
      <c r="AJ112" s="115"/>
      <c r="AK112" s="85" t="s">
        <v>1125</v>
      </c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34">
        <v>52</v>
      </c>
      <c r="BA112" s="4"/>
    </row>
    <row r="113" spans="1:53" s="89" customFormat="1" ht="12" customHeight="1" x14ac:dyDescent="0.15">
      <c r="A113" s="89" t="s">
        <v>191</v>
      </c>
      <c r="B113" s="111">
        <v>201305</v>
      </c>
      <c r="C113" s="208" t="s">
        <v>1527</v>
      </c>
      <c r="D113" s="199" t="s">
        <v>353</v>
      </c>
      <c r="E113" s="89" t="s">
        <v>140</v>
      </c>
      <c r="F113" s="12" t="s">
        <v>140</v>
      </c>
      <c r="G113" s="12" t="s">
        <v>141</v>
      </c>
      <c r="H113" s="89" t="s">
        <v>141</v>
      </c>
      <c r="I113" s="115" t="s">
        <v>12</v>
      </c>
      <c r="J113" s="12" t="s">
        <v>0</v>
      </c>
      <c r="K113" s="12" t="s">
        <v>38</v>
      </c>
      <c r="L113" s="12"/>
      <c r="M113" s="12" t="s">
        <v>361</v>
      </c>
      <c r="N113" s="12" t="s">
        <v>146</v>
      </c>
      <c r="O113" s="89" t="s">
        <v>175</v>
      </c>
      <c r="Q113" s="89" t="s">
        <v>145</v>
      </c>
      <c r="R113" s="89" t="s">
        <v>142</v>
      </c>
      <c r="S113" s="89" t="s">
        <v>143</v>
      </c>
      <c r="T113" s="89" t="s">
        <v>142</v>
      </c>
      <c r="U113" s="89" t="s">
        <v>380</v>
      </c>
      <c r="AG113" s="89" t="s">
        <v>176</v>
      </c>
      <c r="AH113" s="89" t="s">
        <v>177</v>
      </c>
      <c r="AK113" s="84" t="s">
        <v>1343</v>
      </c>
      <c r="AL113" s="117" t="s">
        <v>341</v>
      </c>
      <c r="AM113" s="89" t="s">
        <v>144</v>
      </c>
      <c r="AN113" s="89" t="s">
        <v>144</v>
      </c>
      <c r="AO113" s="12" t="s">
        <v>141</v>
      </c>
      <c r="AP113" s="89" t="s">
        <v>141</v>
      </c>
      <c r="AQ113" s="12" t="s">
        <v>0</v>
      </c>
      <c r="AR113" s="89" t="s">
        <v>38</v>
      </c>
      <c r="AS113" s="12" t="s">
        <v>142</v>
      </c>
      <c r="AT113" s="89" t="s">
        <v>145</v>
      </c>
      <c r="AU113" s="12" t="s">
        <v>362</v>
      </c>
      <c r="AV113" s="12" t="s">
        <v>142</v>
      </c>
      <c r="AY113" s="32">
        <v>107.5</v>
      </c>
      <c r="BA113" s="4"/>
    </row>
    <row r="114" spans="1:53" s="89" customFormat="1" ht="12" customHeight="1" x14ac:dyDescent="0.15">
      <c r="A114" s="89" t="s">
        <v>345</v>
      </c>
      <c r="B114" s="168">
        <v>201306</v>
      </c>
      <c r="C114" s="208" t="s">
        <v>1528</v>
      </c>
      <c r="D114" s="199" t="s">
        <v>354</v>
      </c>
      <c r="E114" s="89" t="s">
        <v>140</v>
      </c>
      <c r="F114" s="12" t="s">
        <v>140</v>
      </c>
      <c r="G114" s="12" t="s">
        <v>141</v>
      </c>
      <c r="H114" s="89" t="s">
        <v>141</v>
      </c>
      <c r="I114" s="115" t="s">
        <v>12</v>
      </c>
      <c r="J114" s="12" t="s">
        <v>0</v>
      </c>
      <c r="K114" s="12" t="s">
        <v>38</v>
      </c>
      <c r="L114" s="12"/>
      <c r="M114" s="12" t="s">
        <v>361</v>
      </c>
      <c r="N114" s="12" t="s">
        <v>146</v>
      </c>
      <c r="O114" s="89" t="s">
        <v>175</v>
      </c>
      <c r="Q114" s="89" t="s">
        <v>145</v>
      </c>
      <c r="R114" s="89" t="s">
        <v>142</v>
      </c>
      <c r="S114" s="89" t="s">
        <v>143</v>
      </c>
      <c r="T114" s="89" t="s">
        <v>142</v>
      </c>
      <c r="U114" s="89" t="s">
        <v>380</v>
      </c>
      <c r="AG114" s="89" t="s">
        <v>176</v>
      </c>
      <c r="AH114" s="89" t="s">
        <v>177</v>
      </c>
      <c r="AK114" s="84" t="s">
        <v>1344</v>
      </c>
      <c r="AL114" s="117" t="s">
        <v>358</v>
      </c>
      <c r="AM114" s="89" t="s">
        <v>144</v>
      </c>
      <c r="AN114" s="89" t="s">
        <v>144</v>
      </c>
      <c r="AO114" s="12" t="s">
        <v>141</v>
      </c>
      <c r="AP114" s="89" t="s">
        <v>141</v>
      </c>
      <c r="AQ114" s="12" t="s">
        <v>0</v>
      </c>
      <c r="AR114" s="89" t="s">
        <v>38</v>
      </c>
      <c r="AS114" s="12" t="s">
        <v>142</v>
      </c>
      <c r="AT114" s="89" t="s">
        <v>145</v>
      </c>
      <c r="AU114" s="12" t="s">
        <v>362</v>
      </c>
      <c r="AV114" s="12" t="s">
        <v>142</v>
      </c>
      <c r="AY114" s="32">
        <v>107.5</v>
      </c>
      <c r="BA114" s="4"/>
    </row>
    <row r="115" spans="1:53" s="89" customFormat="1" ht="12" customHeight="1" x14ac:dyDescent="0.15">
      <c r="A115" s="89" t="s">
        <v>346</v>
      </c>
      <c r="B115" s="168">
        <v>201316</v>
      </c>
      <c r="C115" s="208" t="s">
        <v>1529</v>
      </c>
      <c r="D115" s="202" t="s">
        <v>355</v>
      </c>
      <c r="E115" s="89" t="s">
        <v>140</v>
      </c>
      <c r="F115" s="12" t="s">
        <v>140</v>
      </c>
      <c r="G115" s="12" t="s">
        <v>141</v>
      </c>
      <c r="H115" s="89" t="s">
        <v>141</v>
      </c>
      <c r="I115" s="115" t="s">
        <v>12</v>
      </c>
      <c r="J115" s="12" t="s">
        <v>0</v>
      </c>
      <c r="K115" s="12" t="s">
        <v>38</v>
      </c>
      <c r="L115" s="12"/>
      <c r="M115" s="12" t="s">
        <v>361</v>
      </c>
      <c r="N115" s="12" t="s">
        <v>146</v>
      </c>
      <c r="O115" s="89" t="s">
        <v>175</v>
      </c>
      <c r="Q115" s="89" t="s">
        <v>145</v>
      </c>
      <c r="R115" s="89" t="s">
        <v>142</v>
      </c>
      <c r="S115" s="89" t="s">
        <v>143</v>
      </c>
      <c r="T115" s="89" t="s">
        <v>142</v>
      </c>
      <c r="U115" s="89" t="s">
        <v>380</v>
      </c>
      <c r="AG115" s="89" t="s">
        <v>176</v>
      </c>
      <c r="AH115" s="89" t="s">
        <v>177</v>
      </c>
      <c r="AK115" s="84" t="s">
        <v>1345</v>
      </c>
      <c r="AL115" s="119" t="s">
        <v>412</v>
      </c>
      <c r="AM115" s="89" t="s">
        <v>144</v>
      </c>
      <c r="AN115" s="89" t="s">
        <v>144</v>
      </c>
      <c r="AO115" s="12" t="s">
        <v>141</v>
      </c>
      <c r="AP115" s="89" t="s">
        <v>141</v>
      </c>
      <c r="AQ115" s="12" t="s">
        <v>0</v>
      </c>
      <c r="AR115" s="89" t="s">
        <v>38</v>
      </c>
      <c r="AS115" s="12" t="s">
        <v>142</v>
      </c>
      <c r="AT115" s="89" t="s">
        <v>145</v>
      </c>
      <c r="AU115" s="12" t="s">
        <v>362</v>
      </c>
      <c r="AV115" s="12" t="s">
        <v>142</v>
      </c>
      <c r="AY115" s="32">
        <v>107.5</v>
      </c>
      <c r="BA115" s="4"/>
    </row>
    <row r="116" spans="1:53" s="89" customFormat="1" ht="12" customHeight="1" x14ac:dyDescent="0.15">
      <c r="A116" s="89" t="s">
        <v>347</v>
      </c>
      <c r="B116" s="168">
        <v>201318</v>
      </c>
      <c r="C116" s="208" t="s">
        <v>1530</v>
      </c>
      <c r="D116" s="202" t="s">
        <v>371</v>
      </c>
      <c r="E116" s="89" t="s">
        <v>140</v>
      </c>
      <c r="F116" s="12" t="s">
        <v>140</v>
      </c>
      <c r="G116" s="12" t="s">
        <v>141</v>
      </c>
      <c r="H116" s="89" t="s">
        <v>141</v>
      </c>
      <c r="I116" s="115" t="s">
        <v>12</v>
      </c>
      <c r="J116" s="12" t="s">
        <v>0</v>
      </c>
      <c r="K116" s="12" t="s">
        <v>38</v>
      </c>
      <c r="L116" s="12"/>
      <c r="M116" s="12" t="s">
        <v>361</v>
      </c>
      <c r="N116" s="12" t="s">
        <v>146</v>
      </c>
      <c r="O116" s="89" t="s">
        <v>175</v>
      </c>
      <c r="Q116" s="89" t="s">
        <v>145</v>
      </c>
      <c r="R116" s="89" t="s">
        <v>142</v>
      </c>
      <c r="S116" s="89" t="s">
        <v>143</v>
      </c>
      <c r="T116" s="89" t="s">
        <v>142</v>
      </c>
      <c r="U116" s="89" t="s">
        <v>380</v>
      </c>
      <c r="AG116" s="89" t="s">
        <v>176</v>
      </c>
      <c r="AH116" s="89" t="s">
        <v>177</v>
      </c>
      <c r="AK116" s="84" t="s">
        <v>1346</v>
      </c>
      <c r="AL116" s="119" t="s">
        <v>357</v>
      </c>
      <c r="AM116" s="89" t="s">
        <v>144</v>
      </c>
      <c r="AN116" s="89" t="s">
        <v>144</v>
      </c>
      <c r="AO116" s="12" t="s">
        <v>141</v>
      </c>
      <c r="AP116" s="89" t="s">
        <v>141</v>
      </c>
      <c r="AQ116" s="12" t="s">
        <v>0</v>
      </c>
      <c r="AR116" s="89" t="s">
        <v>38</v>
      </c>
      <c r="AS116" s="12" t="s">
        <v>142</v>
      </c>
      <c r="AT116" s="89" t="s">
        <v>145</v>
      </c>
      <c r="AU116" s="12" t="s">
        <v>362</v>
      </c>
      <c r="AV116" s="12" t="s">
        <v>142</v>
      </c>
      <c r="AY116" s="32">
        <v>107.5</v>
      </c>
      <c r="BA116" s="4"/>
    </row>
    <row r="117" spans="1:53" s="89" customFormat="1" ht="12" customHeight="1" x14ac:dyDescent="0.15">
      <c r="A117" s="89" t="s">
        <v>348</v>
      </c>
      <c r="B117" s="111">
        <v>201331</v>
      </c>
      <c r="C117" s="208" t="s">
        <v>1531</v>
      </c>
      <c r="D117" s="203" t="s">
        <v>363</v>
      </c>
      <c r="E117" s="89" t="s">
        <v>140</v>
      </c>
      <c r="F117" s="12" t="s">
        <v>140</v>
      </c>
      <c r="G117" s="12" t="s">
        <v>141</v>
      </c>
      <c r="H117" s="89" t="s">
        <v>141</v>
      </c>
      <c r="I117" s="12" t="s">
        <v>12</v>
      </c>
      <c r="J117" s="12" t="s">
        <v>0</v>
      </c>
      <c r="K117" s="12" t="s">
        <v>38</v>
      </c>
      <c r="L117" s="12"/>
      <c r="M117" s="12" t="s">
        <v>361</v>
      </c>
      <c r="N117" s="12" t="s">
        <v>146</v>
      </c>
      <c r="O117" s="89" t="s">
        <v>175</v>
      </c>
      <c r="Q117" s="89" t="s">
        <v>145</v>
      </c>
      <c r="R117" s="89" t="s">
        <v>142</v>
      </c>
      <c r="S117" s="89" t="s">
        <v>143</v>
      </c>
      <c r="T117" s="89" t="s">
        <v>142</v>
      </c>
      <c r="U117" s="89" t="s">
        <v>380</v>
      </c>
      <c r="AG117" s="89" t="s">
        <v>176</v>
      </c>
      <c r="AH117" s="114" t="s">
        <v>177</v>
      </c>
      <c r="AI117" s="116"/>
      <c r="AK117" s="84" t="s">
        <v>1347</v>
      </c>
      <c r="AL117" s="120" t="s">
        <v>364</v>
      </c>
      <c r="AM117" s="89" t="s">
        <v>144</v>
      </c>
      <c r="AN117" s="89" t="s">
        <v>144</v>
      </c>
      <c r="AO117" s="12" t="s">
        <v>141</v>
      </c>
      <c r="AP117" s="89" t="s">
        <v>141</v>
      </c>
      <c r="AQ117" s="12" t="s">
        <v>0</v>
      </c>
      <c r="AR117" s="89" t="s">
        <v>38</v>
      </c>
      <c r="AS117" s="12" t="s">
        <v>142</v>
      </c>
      <c r="AT117" s="89" t="s">
        <v>145</v>
      </c>
      <c r="AU117" s="12" t="s">
        <v>362</v>
      </c>
      <c r="AV117" s="12" t="s">
        <v>142</v>
      </c>
      <c r="AY117" s="32">
        <v>107.5</v>
      </c>
    </row>
    <row r="118" spans="1:53" s="89" customFormat="1" ht="12" customHeight="1" x14ac:dyDescent="0.15">
      <c r="A118" s="89" t="s">
        <v>349</v>
      </c>
      <c r="B118" s="111">
        <v>201332</v>
      </c>
      <c r="C118" s="208" t="s">
        <v>1532</v>
      </c>
      <c r="D118" s="203" t="s">
        <v>369</v>
      </c>
      <c r="E118" s="89" t="s">
        <v>1409</v>
      </c>
      <c r="F118" s="12" t="s">
        <v>140</v>
      </c>
      <c r="G118" s="12" t="s">
        <v>141</v>
      </c>
      <c r="H118" s="89" t="s">
        <v>141</v>
      </c>
      <c r="I118" s="12" t="s">
        <v>12</v>
      </c>
      <c r="J118" s="12" t="s">
        <v>0</v>
      </c>
      <c r="K118" s="12" t="s">
        <v>38</v>
      </c>
      <c r="L118" s="12"/>
      <c r="M118" s="12" t="s">
        <v>361</v>
      </c>
      <c r="N118" s="12" t="s">
        <v>146</v>
      </c>
      <c r="O118" s="89" t="s">
        <v>175</v>
      </c>
      <c r="Q118" s="89" t="s">
        <v>145</v>
      </c>
      <c r="R118" s="89" t="s">
        <v>142</v>
      </c>
      <c r="S118" s="89" t="s">
        <v>143</v>
      </c>
      <c r="T118" s="89" t="s">
        <v>142</v>
      </c>
      <c r="U118" s="89" t="s">
        <v>380</v>
      </c>
      <c r="AG118" s="89" t="s">
        <v>176</v>
      </c>
      <c r="AH118" s="114" t="s">
        <v>177</v>
      </c>
      <c r="AI118" s="116"/>
      <c r="AK118" s="84" t="s">
        <v>1348</v>
      </c>
      <c r="AL118" s="120" t="s">
        <v>370</v>
      </c>
      <c r="AM118" s="89" t="s">
        <v>144</v>
      </c>
      <c r="AN118" s="89" t="s">
        <v>144</v>
      </c>
      <c r="AO118" s="12" t="s">
        <v>141</v>
      </c>
      <c r="AP118" s="89" t="s">
        <v>141</v>
      </c>
      <c r="AQ118" s="12" t="s">
        <v>0</v>
      </c>
      <c r="AR118" s="89" t="s">
        <v>38</v>
      </c>
      <c r="AS118" s="12" t="s">
        <v>142</v>
      </c>
      <c r="AT118" s="89" t="s">
        <v>145</v>
      </c>
      <c r="AU118" s="12" t="s">
        <v>362</v>
      </c>
      <c r="AV118" s="12" t="s">
        <v>142</v>
      </c>
      <c r="AY118" s="32">
        <v>107.5</v>
      </c>
    </row>
    <row r="119" spans="1:53" s="89" customFormat="1" ht="12" customHeight="1" x14ac:dyDescent="0.15">
      <c r="A119" s="89" t="s">
        <v>352</v>
      </c>
      <c r="B119" s="111">
        <v>200873</v>
      </c>
      <c r="C119" s="210" t="s">
        <v>941</v>
      </c>
      <c r="D119" s="202" t="s">
        <v>281</v>
      </c>
      <c r="E119" s="89" t="s">
        <v>192</v>
      </c>
      <c r="F119" s="89" t="s">
        <v>192</v>
      </c>
      <c r="G119" s="12" t="s">
        <v>141</v>
      </c>
      <c r="H119" s="12" t="s">
        <v>141</v>
      </c>
      <c r="I119" s="12" t="s">
        <v>194</v>
      </c>
      <c r="J119" s="12" t="s">
        <v>195</v>
      </c>
      <c r="K119" s="12" t="s">
        <v>193</v>
      </c>
      <c r="L119" s="12"/>
      <c r="M119" s="12" t="s">
        <v>361</v>
      </c>
      <c r="N119" s="115" t="s">
        <v>142</v>
      </c>
      <c r="O119" s="89" t="s">
        <v>175</v>
      </c>
      <c r="Q119" s="89" t="s">
        <v>197</v>
      </c>
      <c r="R119" s="89" t="s">
        <v>196</v>
      </c>
      <c r="S119" s="89" t="s">
        <v>143</v>
      </c>
      <c r="T119" s="89" t="s">
        <v>196</v>
      </c>
      <c r="U119" s="89" t="s">
        <v>380</v>
      </c>
      <c r="AG119" s="89" t="s">
        <v>176</v>
      </c>
      <c r="AH119" s="89" t="s">
        <v>177</v>
      </c>
      <c r="AK119" s="85"/>
      <c r="AL119" s="111"/>
      <c r="AO119" s="12"/>
      <c r="AQ119" s="12"/>
      <c r="AS119" s="12"/>
      <c r="AU119" s="12"/>
      <c r="AV119" s="12"/>
      <c r="AY119" s="81">
        <v>29.5</v>
      </c>
      <c r="BA119" s="4"/>
    </row>
    <row r="120" spans="1:53" s="89" customFormat="1" ht="12" customHeight="1" x14ac:dyDescent="0.15">
      <c r="A120" s="89" t="s">
        <v>884</v>
      </c>
      <c r="B120" s="111">
        <v>200874</v>
      </c>
      <c r="C120" s="210" t="s">
        <v>893</v>
      </c>
      <c r="D120" s="202" t="s">
        <v>282</v>
      </c>
      <c r="E120" s="89" t="s">
        <v>192</v>
      </c>
      <c r="F120" s="89" t="s">
        <v>192</v>
      </c>
      <c r="G120" s="12" t="s">
        <v>141</v>
      </c>
      <c r="H120" s="12" t="s">
        <v>141</v>
      </c>
      <c r="I120" s="12" t="s">
        <v>194</v>
      </c>
      <c r="J120" s="12" t="s">
        <v>195</v>
      </c>
      <c r="K120" s="12" t="s">
        <v>193</v>
      </c>
      <c r="L120" s="12"/>
      <c r="M120" s="12" t="s">
        <v>361</v>
      </c>
      <c r="N120" s="115" t="s">
        <v>142</v>
      </c>
      <c r="O120" s="115" t="s">
        <v>175</v>
      </c>
      <c r="P120" s="115"/>
      <c r="Q120" s="115" t="s">
        <v>145</v>
      </c>
      <c r="R120" s="115" t="s">
        <v>142</v>
      </c>
      <c r="S120" s="115" t="s">
        <v>143</v>
      </c>
      <c r="T120" s="115" t="s">
        <v>142</v>
      </c>
      <c r="U120" s="89" t="s">
        <v>380</v>
      </c>
      <c r="X120" s="12"/>
      <c r="Z120" s="12"/>
      <c r="AB120" s="12"/>
      <c r="AD120" s="12"/>
      <c r="AE120" s="12"/>
      <c r="AF120" s="12"/>
      <c r="AG120" s="89" t="s">
        <v>176</v>
      </c>
      <c r="AH120" s="89" t="s">
        <v>177</v>
      </c>
      <c r="AI120" s="121"/>
      <c r="AJ120" s="121"/>
      <c r="AK120" s="85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Y120" s="81">
        <v>29.5</v>
      </c>
      <c r="BA120" s="4"/>
    </row>
    <row r="121" spans="1:53" s="89" customFormat="1" ht="12" customHeight="1" x14ac:dyDescent="0.15">
      <c r="A121" s="89" t="s">
        <v>875</v>
      </c>
      <c r="B121" s="111">
        <v>200875</v>
      </c>
      <c r="C121" s="210" t="s">
        <v>894</v>
      </c>
      <c r="D121" s="202" t="s">
        <v>375</v>
      </c>
      <c r="E121" s="89" t="s">
        <v>192</v>
      </c>
      <c r="F121" s="89" t="s">
        <v>192</v>
      </c>
      <c r="G121" s="12" t="s">
        <v>141</v>
      </c>
      <c r="H121" s="12" t="s">
        <v>141</v>
      </c>
      <c r="I121" s="12" t="s">
        <v>194</v>
      </c>
      <c r="J121" s="12" t="s">
        <v>195</v>
      </c>
      <c r="K121" s="12" t="s">
        <v>193</v>
      </c>
      <c r="L121" s="12"/>
      <c r="M121" s="12" t="s">
        <v>361</v>
      </c>
      <c r="N121" s="115" t="s">
        <v>142</v>
      </c>
      <c r="O121" s="115" t="s">
        <v>175</v>
      </c>
      <c r="P121" s="115"/>
      <c r="Q121" s="115" t="s">
        <v>145</v>
      </c>
      <c r="R121" s="115" t="s">
        <v>142</v>
      </c>
      <c r="S121" s="115" t="s">
        <v>143</v>
      </c>
      <c r="T121" s="115" t="s">
        <v>142</v>
      </c>
      <c r="U121" s="89" t="s">
        <v>380</v>
      </c>
      <c r="X121" s="12"/>
      <c r="Z121" s="12"/>
      <c r="AB121" s="12"/>
      <c r="AD121" s="12"/>
      <c r="AE121" s="12"/>
      <c r="AF121" s="12"/>
      <c r="AG121" s="89" t="s">
        <v>176</v>
      </c>
      <c r="AH121" s="89" t="s">
        <v>177</v>
      </c>
      <c r="AI121" s="121"/>
      <c r="AJ121" s="121"/>
      <c r="AK121" s="85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Y121" s="81">
        <v>29.5</v>
      </c>
      <c r="BA121" s="4"/>
    </row>
    <row r="122" spans="1:53" ht="12" customHeight="1" x14ac:dyDescent="0.15">
      <c r="A122" s="89" t="s">
        <v>885</v>
      </c>
      <c r="B122" s="111">
        <v>201410</v>
      </c>
      <c r="C122" s="204" t="s">
        <v>1533</v>
      </c>
      <c r="D122" s="204" t="s">
        <v>876</v>
      </c>
      <c r="E122" s="86" t="s">
        <v>140</v>
      </c>
      <c r="F122" s="6" t="s">
        <v>140</v>
      </c>
      <c r="G122" s="6" t="s">
        <v>141</v>
      </c>
      <c r="H122" s="86" t="s">
        <v>141</v>
      </c>
      <c r="I122" s="6" t="s">
        <v>187</v>
      </c>
      <c r="J122" s="6" t="s">
        <v>37</v>
      </c>
      <c r="K122" s="6" t="s">
        <v>38</v>
      </c>
      <c r="M122" s="6" t="s">
        <v>361</v>
      </c>
      <c r="N122" s="6" t="s">
        <v>877</v>
      </c>
      <c r="O122" s="86" t="s">
        <v>188</v>
      </c>
      <c r="Q122" s="86" t="s">
        <v>878</v>
      </c>
      <c r="R122" s="86" t="s">
        <v>879</v>
      </c>
      <c r="S122" s="86" t="s">
        <v>880</v>
      </c>
      <c r="T122" s="86" t="s">
        <v>879</v>
      </c>
      <c r="U122" s="86" t="s">
        <v>881</v>
      </c>
      <c r="AG122" s="86" t="s">
        <v>159</v>
      </c>
      <c r="AH122" s="86" t="s">
        <v>160</v>
      </c>
      <c r="AI122" s="86"/>
      <c r="AJ122" s="86"/>
      <c r="AK122" s="84" t="s">
        <v>1349</v>
      </c>
      <c r="AL122" s="86" t="s">
        <v>949</v>
      </c>
      <c r="AM122" s="86" t="s">
        <v>144</v>
      </c>
      <c r="AN122" s="86" t="s">
        <v>144</v>
      </c>
      <c r="AO122" s="86" t="s">
        <v>141</v>
      </c>
      <c r="AP122" s="86" t="s">
        <v>141</v>
      </c>
      <c r="AQ122" s="86" t="s">
        <v>37</v>
      </c>
      <c r="AR122" s="86" t="s">
        <v>38</v>
      </c>
      <c r="AS122" s="86" t="s">
        <v>879</v>
      </c>
      <c r="AT122" s="86" t="s">
        <v>878</v>
      </c>
      <c r="AU122" s="86" t="s">
        <v>882</v>
      </c>
      <c r="AV122" s="86" t="s">
        <v>879</v>
      </c>
      <c r="AY122" s="33">
        <v>107.5</v>
      </c>
    </row>
    <row r="123" spans="1:53" ht="12" customHeight="1" x14ac:dyDescent="0.15">
      <c r="A123" s="89" t="s">
        <v>886</v>
      </c>
      <c r="B123" s="111">
        <v>201411</v>
      </c>
      <c r="C123" s="210" t="s">
        <v>936</v>
      </c>
      <c r="D123" s="202" t="s">
        <v>883</v>
      </c>
      <c r="E123" s="89" t="s">
        <v>192</v>
      </c>
      <c r="F123" s="89" t="s">
        <v>192</v>
      </c>
      <c r="G123" s="12" t="s">
        <v>141</v>
      </c>
      <c r="H123" s="12" t="s">
        <v>141</v>
      </c>
      <c r="I123" s="12" t="s">
        <v>194</v>
      </c>
      <c r="J123" s="12" t="s">
        <v>195</v>
      </c>
      <c r="K123" s="12" t="s">
        <v>193</v>
      </c>
      <c r="L123" s="12"/>
      <c r="M123" s="12" t="s">
        <v>361</v>
      </c>
      <c r="N123" s="115" t="s">
        <v>142</v>
      </c>
      <c r="O123" s="89" t="s">
        <v>175</v>
      </c>
      <c r="P123" s="89"/>
      <c r="Q123" s="89" t="s">
        <v>197</v>
      </c>
      <c r="R123" s="89" t="s">
        <v>196</v>
      </c>
      <c r="S123" s="89" t="s">
        <v>143</v>
      </c>
      <c r="T123" s="89" t="s">
        <v>196</v>
      </c>
      <c r="U123" s="89" t="s">
        <v>380</v>
      </c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 t="s">
        <v>176</v>
      </c>
      <c r="AH123" s="89" t="s">
        <v>177</v>
      </c>
      <c r="AI123" s="89"/>
      <c r="AJ123" s="89"/>
      <c r="AK123" s="85"/>
      <c r="AL123" s="111"/>
      <c r="AM123" s="89"/>
      <c r="AN123" s="89"/>
      <c r="AO123" s="12"/>
      <c r="AP123" s="89"/>
      <c r="AQ123" s="12"/>
      <c r="AR123" s="89"/>
      <c r="AS123" s="12"/>
      <c r="AT123" s="89"/>
      <c r="AU123" s="12"/>
      <c r="AV123" s="12"/>
      <c r="AW123" s="89"/>
      <c r="AX123" s="89"/>
      <c r="AY123" s="81">
        <v>29.5</v>
      </c>
    </row>
    <row r="124" spans="1:53" ht="12" customHeight="1" x14ac:dyDescent="0.15">
      <c r="A124" s="89" t="s">
        <v>889</v>
      </c>
      <c r="B124" s="111">
        <v>201412</v>
      </c>
      <c r="C124" s="204" t="s">
        <v>1534</v>
      </c>
      <c r="D124" s="204" t="s">
        <v>890</v>
      </c>
      <c r="E124" s="86" t="s">
        <v>140</v>
      </c>
      <c r="F124" s="6" t="s">
        <v>140</v>
      </c>
      <c r="G124" s="6" t="s">
        <v>141</v>
      </c>
      <c r="H124" s="86" t="s">
        <v>141</v>
      </c>
      <c r="I124" s="6" t="s">
        <v>187</v>
      </c>
      <c r="J124" s="6" t="s">
        <v>37</v>
      </c>
      <c r="K124" s="6" t="s">
        <v>38</v>
      </c>
      <c r="M124" s="6" t="s">
        <v>361</v>
      </c>
      <c r="N124" s="6" t="s">
        <v>877</v>
      </c>
      <c r="O124" s="86" t="s">
        <v>188</v>
      </c>
      <c r="Q124" s="86" t="s">
        <v>878</v>
      </c>
      <c r="R124" s="86" t="s">
        <v>879</v>
      </c>
      <c r="S124" s="86" t="s">
        <v>880</v>
      </c>
      <c r="T124" s="86" t="s">
        <v>879</v>
      </c>
      <c r="U124" s="86" t="s">
        <v>881</v>
      </c>
      <c r="AG124" s="86" t="s">
        <v>159</v>
      </c>
      <c r="AH124" s="86" t="s">
        <v>160</v>
      </c>
      <c r="AI124" s="86"/>
      <c r="AJ124" s="86"/>
      <c r="AK124" s="177" t="s">
        <v>1402</v>
      </c>
      <c r="AL124" s="86" t="s">
        <v>950</v>
      </c>
      <c r="AM124" s="86" t="s">
        <v>144</v>
      </c>
      <c r="AN124" s="86" t="s">
        <v>144</v>
      </c>
      <c r="AO124" s="86" t="s">
        <v>141</v>
      </c>
      <c r="AP124" s="86" t="s">
        <v>141</v>
      </c>
      <c r="AQ124" s="86" t="s">
        <v>37</v>
      </c>
      <c r="AR124" s="86" t="s">
        <v>38</v>
      </c>
      <c r="AS124" s="86" t="s">
        <v>879</v>
      </c>
      <c r="AT124" s="86" t="s">
        <v>878</v>
      </c>
      <c r="AU124" s="86" t="s">
        <v>882</v>
      </c>
      <c r="AV124" s="86" t="s">
        <v>879</v>
      </c>
      <c r="AY124" s="33">
        <v>107.5</v>
      </c>
    </row>
    <row r="125" spans="1:53" ht="12" customHeight="1" x14ac:dyDescent="0.15">
      <c r="A125" s="122" t="s">
        <v>898</v>
      </c>
      <c r="B125" s="111">
        <v>201413</v>
      </c>
      <c r="C125" s="210" t="s">
        <v>1535</v>
      </c>
      <c r="D125" s="204" t="s">
        <v>899</v>
      </c>
      <c r="E125" s="86" t="s">
        <v>140</v>
      </c>
      <c r="F125" s="6" t="s">
        <v>140</v>
      </c>
      <c r="G125" s="6" t="s">
        <v>141</v>
      </c>
      <c r="H125" s="86" t="s">
        <v>141</v>
      </c>
      <c r="I125" s="6" t="s">
        <v>187</v>
      </c>
      <c r="J125" s="6" t="s">
        <v>37</v>
      </c>
      <c r="K125" s="6" t="s">
        <v>38</v>
      </c>
      <c r="M125" s="6" t="s">
        <v>361</v>
      </c>
      <c r="N125" s="6" t="s">
        <v>877</v>
      </c>
      <c r="O125" s="86" t="s">
        <v>188</v>
      </c>
      <c r="Q125" s="86" t="s">
        <v>878</v>
      </c>
      <c r="R125" s="86" t="s">
        <v>879</v>
      </c>
      <c r="S125" s="86" t="s">
        <v>880</v>
      </c>
      <c r="T125" s="86" t="s">
        <v>879</v>
      </c>
      <c r="U125" s="86" t="s">
        <v>881</v>
      </c>
      <c r="AG125" s="86" t="s">
        <v>159</v>
      </c>
      <c r="AH125" s="86" t="s">
        <v>160</v>
      </c>
      <c r="AK125" s="89" t="s">
        <v>1350</v>
      </c>
      <c r="AL125" s="86" t="s">
        <v>900</v>
      </c>
      <c r="AM125" s="86" t="s">
        <v>144</v>
      </c>
      <c r="AN125" s="86" t="s">
        <v>144</v>
      </c>
      <c r="AO125" s="86" t="s">
        <v>141</v>
      </c>
      <c r="AP125" s="86" t="s">
        <v>141</v>
      </c>
      <c r="AQ125" s="86" t="s">
        <v>37</v>
      </c>
      <c r="AR125" s="86" t="s">
        <v>38</v>
      </c>
      <c r="AS125" s="86" t="s">
        <v>879</v>
      </c>
      <c r="AT125" s="86" t="s">
        <v>878</v>
      </c>
      <c r="AU125" s="86" t="s">
        <v>882</v>
      </c>
      <c r="AV125" s="86" t="s">
        <v>879</v>
      </c>
      <c r="AY125" s="33">
        <v>107.5</v>
      </c>
    </row>
    <row r="126" spans="1:53" ht="12" customHeight="1" x14ac:dyDescent="0.15">
      <c r="A126" s="86" t="s">
        <v>905</v>
      </c>
      <c r="B126" s="127">
        <v>201414</v>
      </c>
      <c r="C126" s="206" t="s">
        <v>1536</v>
      </c>
      <c r="D126" s="205" t="s">
        <v>972</v>
      </c>
      <c r="E126" s="129" t="s">
        <v>971</v>
      </c>
      <c r="F126" s="129" t="s">
        <v>971</v>
      </c>
      <c r="G126" s="130" t="s">
        <v>907</v>
      </c>
      <c r="H126" s="131" t="s">
        <v>907</v>
      </c>
      <c r="I126" s="130" t="s">
        <v>187</v>
      </c>
      <c r="J126" s="132" t="s">
        <v>195</v>
      </c>
      <c r="K126" s="133" t="s">
        <v>193</v>
      </c>
      <c r="L126" s="130"/>
      <c r="M126" s="130" t="s">
        <v>361</v>
      </c>
      <c r="N126" s="130" t="s">
        <v>877</v>
      </c>
      <c r="O126" s="131" t="s">
        <v>188</v>
      </c>
      <c r="P126" s="131"/>
      <c r="Q126" s="131" t="s">
        <v>878</v>
      </c>
      <c r="R126" s="131" t="s">
        <v>879</v>
      </c>
      <c r="S126" s="131" t="s">
        <v>880</v>
      </c>
      <c r="T126" s="131" t="s">
        <v>879</v>
      </c>
      <c r="U126" s="134" t="s">
        <v>380</v>
      </c>
      <c r="V126" s="131"/>
      <c r="W126" s="131"/>
      <c r="X126" s="130"/>
      <c r="Y126" s="131"/>
      <c r="Z126" s="130"/>
      <c r="AA126" s="131"/>
      <c r="AB126" s="130"/>
      <c r="AC126" s="131"/>
      <c r="AD126" s="130"/>
      <c r="AE126" s="130"/>
      <c r="AF126" s="130"/>
      <c r="AG126" s="134" t="s">
        <v>176</v>
      </c>
      <c r="AH126" s="134" t="s">
        <v>177</v>
      </c>
      <c r="AI126" s="131"/>
      <c r="AJ126" s="131"/>
      <c r="AK126" s="135" t="s">
        <v>1351</v>
      </c>
      <c r="AL126" s="129" t="s">
        <v>972</v>
      </c>
      <c r="AM126" s="131" t="s">
        <v>908</v>
      </c>
      <c r="AN126" s="131" t="s">
        <v>908</v>
      </c>
      <c r="AO126" s="131" t="s">
        <v>907</v>
      </c>
      <c r="AP126" s="131" t="s">
        <v>907</v>
      </c>
      <c r="AQ126" s="131" t="s">
        <v>0</v>
      </c>
      <c r="AR126" s="131" t="s">
        <v>38</v>
      </c>
      <c r="AS126" s="131" t="s">
        <v>196</v>
      </c>
      <c r="AT126" s="131"/>
      <c r="AU126" s="131"/>
      <c r="AV126" s="131"/>
      <c r="AY126" s="128">
        <v>162.9</v>
      </c>
    </row>
    <row r="127" spans="1:53" ht="12" customHeight="1" x14ac:dyDescent="0.15">
      <c r="A127" s="86" t="s">
        <v>911</v>
      </c>
      <c r="B127" s="127">
        <v>201415</v>
      </c>
      <c r="C127" s="206" t="s">
        <v>1537</v>
      </c>
      <c r="D127" s="205" t="s">
        <v>973</v>
      </c>
      <c r="E127" s="129" t="s">
        <v>971</v>
      </c>
      <c r="F127" s="129" t="s">
        <v>971</v>
      </c>
      <c r="G127" s="130" t="s">
        <v>907</v>
      </c>
      <c r="H127" s="131" t="s">
        <v>907</v>
      </c>
      <c r="I127" s="130" t="s">
        <v>187</v>
      </c>
      <c r="J127" s="132" t="s">
        <v>195</v>
      </c>
      <c r="K127" s="133" t="s">
        <v>193</v>
      </c>
      <c r="L127" s="130"/>
      <c r="M127" s="130" t="s">
        <v>361</v>
      </c>
      <c r="N127" s="130" t="s">
        <v>877</v>
      </c>
      <c r="O127" s="131" t="s">
        <v>188</v>
      </c>
      <c r="P127" s="131"/>
      <c r="Q127" s="131" t="s">
        <v>878</v>
      </c>
      <c r="R127" s="131" t="s">
        <v>879</v>
      </c>
      <c r="S127" s="131" t="s">
        <v>880</v>
      </c>
      <c r="T127" s="131" t="s">
        <v>879</v>
      </c>
      <c r="U127" s="134" t="s">
        <v>380</v>
      </c>
      <c r="V127" s="131"/>
      <c r="W127" s="131"/>
      <c r="X127" s="130"/>
      <c r="Y127" s="131"/>
      <c r="Z127" s="130"/>
      <c r="AA127" s="131"/>
      <c r="AB127" s="130"/>
      <c r="AC127" s="131"/>
      <c r="AD127" s="130"/>
      <c r="AE127" s="130"/>
      <c r="AF127" s="130"/>
      <c r="AG127" s="134" t="s">
        <v>176</v>
      </c>
      <c r="AH127" s="134" t="s">
        <v>177</v>
      </c>
      <c r="AI127" s="131"/>
      <c r="AJ127" s="131"/>
      <c r="AK127" s="144" t="s">
        <v>1352</v>
      </c>
      <c r="AL127" s="129" t="s">
        <v>973</v>
      </c>
      <c r="AM127" s="131" t="s">
        <v>908</v>
      </c>
      <c r="AN127" s="131" t="s">
        <v>908</v>
      </c>
      <c r="AO127" s="131" t="s">
        <v>907</v>
      </c>
      <c r="AP127" s="131" t="s">
        <v>907</v>
      </c>
      <c r="AQ127" s="131" t="s">
        <v>0</v>
      </c>
      <c r="AR127" s="131" t="s">
        <v>38</v>
      </c>
      <c r="AS127" s="131" t="s">
        <v>196</v>
      </c>
      <c r="AT127" s="131"/>
      <c r="AU127" s="131"/>
      <c r="AV127" s="131"/>
      <c r="AY127" s="128">
        <v>162.9</v>
      </c>
    </row>
    <row r="128" spans="1:53" ht="12" customHeight="1" x14ac:dyDescent="0.15">
      <c r="A128" s="86" t="s">
        <v>912</v>
      </c>
      <c r="B128" s="127">
        <v>201416</v>
      </c>
      <c r="C128" s="206" t="s">
        <v>1538</v>
      </c>
      <c r="D128" s="205" t="s">
        <v>974</v>
      </c>
      <c r="E128" s="129" t="s">
        <v>971</v>
      </c>
      <c r="F128" s="129" t="s">
        <v>971</v>
      </c>
      <c r="G128" s="130" t="s">
        <v>907</v>
      </c>
      <c r="H128" s="131" t="s">
        <v>907</v>
      </c>
      <c r="I128" s="130" t="s">
        <v>187</v>
      </c>
      <c r="J128" s="141" t="s">
        <v>195</v>
      </c>
      <c r="K128" s="142" t="s">
        <v>193</v>
      </c>
      <c r="L128" s="130"/>
      <c r="M128" s="130" t="s">
        <v>361</v>
      </c>
      <c r="N128" s="130" t="s">
        <v>877</v>
      </c>
      <c r="O128" s="131" t="s">
        <v>188</v>
      </c>
      <c r="P128" s="131"/>
      <c r="Q128" s="131" t="s">
        <v>878</v>
      </c>
      <c r="R128" s="131" t="s">
        <v>879</v>
      </c>
      <c r="S128" s="131" t="s">
        <v>880</v>
      </c>
      <c r="T128" s="131" t="s">
        <v>879</v>
      </c>
      <c r="U128" s="134" t="s">
        <v>380</v>
      </c>
      <c r="V128" s="131"/>
      <c r="W128" s="131"/>
      <c r="X128" s="130"/>
      <c r="Y128" s="131"/>
      <c r="Z128" s="130"/>
      <c r="AA128" s="131"/>
      <c r="AB128" s="130"/>
      <c r="AC128" s="131"/>
      <c r="AD128" s="130"/>
      <c r="AE128" s="130"/>
      <c r="AF128" s="130"/>
      <c r="AG128" s="134" t="s">
        <v>176</v>
      </c>
      <c r="AH128" s="134" t="s">
        <v>177</v>
      </c>
      <c r="AI128" s="131"/>
      <c r="AJ128" s="131"/>
      <c r="AK128" s="138" t="s">
        <v>1411</v>
      </c>
      <c r="AL128" s="129" t="s">
        <v>974</v>
      </c>
      <c r="AM128" s="131" t="s">
        <v>908</v>
      </c>
      <c r="AN128" s="131" t="s">
        <v>1118</v>
      </c>
      <c r="AO128" s="131" t="s">
        <v>907</v>
      </c>
      <c r="AP128" s="131" t="s">
        <v>907</v>
      </c>
      <c r="AQ128" s="131" t="s">
        <v>0</v>
      </c>
      <c r="AR128" s="131" t="s">
        <v>38</v>
      </c>
      <c r="AS128" s="131" t="s">
        <v>196</v>
      </c>
      <c r="AT128" s="131"/>
      <c r="AU128" s="131"/>
      <c r="AV128" s="131"/>
      <c r="AY128" s="128">
        <v>162.9</v>
      </c>
    </row>
    <row r="129" spans="1:54" ht="12" customHeight="1" x14ac:dyDescent="0.15">
      <c r="A129" s="86" t="s">
        <v>913</v>
      </c>
      <c r="B129" s="127">
        <v>201417</v>
      </c>
      <c r="C129" s="211" t="s">
        <v>1539</v>
      </c>
      <c r="D129" s="204" t="s">
        <v>1105</v>
      </c>
      <c r="E129" s="89" t="s">
        <v>140</v>
      </c>
      <c r="F129" s="12" t="s">
        <v>140</v>
      </c>
      <c r="G129" s="12" t="s">
        <v>141</v>
      </c>
      <c r="H129" s="89" t="s">
        <v>141</v>
      </c>
      <c r="I129" s="12" t="s">
        <v>12</v>
      </c>
      <c r="J129" s="12" t="s">
        <v>0</v>
      </c>
      <c r="K129" s="12" t="s">
        <v>38</v>
      </c>
      <c r="M129" s="6" t="s">
        <v>361</v>
      </c>
      <c r="N129" s="12" t="s">
        <v>146</v>
      </c>
      <c r="O129" s="86" t="s">
        <v>188</v>
      </c>
      <c r="Q129" s="86" t="s">
        <v>878</v>
      </c>
      <c r="R129" s="86" t="s">
        <v>879</v>
      </c>
      <c r="S129" s="86" t="s">
        <v>880</v>
      </c>
      <c r="T129" s="86" t="s">
        <v>879</v>
      </c>
      <c r="U129" s="89" t="s">
        <v>380</v>
      </c>
      <c r="AG129" s="89" t="s">
        <v>176</v>
      </c>
      <c r="AH129" s="89" t="s">
        <v>177</v>
      </c>
      <c r="AK129" s="103" t="s">
        <v>1353</v>
      </c>
      <c r="AL129" s="124" t="s">
        <v>1107</v>
      </c>
      <c r="AM129" s="89" t="s">
        <v>144</v>
      </c>
      <c r="AN129" s="89" t="s">
        <v>144</v>
      </c>
      <c r="AO129" s="12" t="s">
        <v>141</v>
      </c>
      <c r="AP129" s="89" t="s">
        <v>141</v>
      </c>
      <c r="AQ129" s="12" t="s">
        <v>0</v>
      </c>
      <c r="AR129" s="89" t="s">
        <v>38</v>
      </c>
      <c r="AS129" s="12" t="s">
        <v>142</v>
      </c>
      <c r="AT129" s="89" t="s">
        <v>145</v>
      </c>
      <c r="AU129" s="12" t="s">
        <v>362</v>
      </c>
      <c r="AV129" s="12" t="s">
        <v>142</v>
      </c>
      <c r="AY129" s="33">
        <v>107.5</v>
      </c>
    </row>
    <row r="130" spans="1:54" ht="12" customHeight="1" x14ac:dyDescent="0.15">
      <c r="A130" s="86" t="s">
        <v>914</v>
      </c>
      <c r="B130" s="127">
        <v>201418</v>
      </c>
      <c r="C130" s="211" t="s">
        <v>1540</v>
      </c>
      <c r="D130" s="204" t="s">
        <v>1213</v>
      </c>
      <c r="E130" s="129" t="s">
        <v>971</v>
      </c>
      <c r="F130" s="129" t="s">
        <v>971</v>
      </c>
      <c r="G130" s="6" t="s">
        <v>907</v>
      </c>
      <c r="H130" s="86" t="s">
        <v>907</v>
      </c>
      <c r="I130" s="6" t="s">
        <v>187</v>
      </c>
      <c r="J130" s="6" t="s">
        <v>195</v>
      </c>
      <c r="K130" s="88" t="s">
        <v>193</v>
      </c>
      <c r="M130" s="6" t="s">
        <v>361</v>
      </c>
      <c r="O130" s="86" t="s">
        <v>188</v>
      </c>
      <c r="Q130" s="86" t="s">
        <v>878</v>
      </c>
      <c r="R130" s="86" t="s">
        <v>879</v>
      </c>
      <c r="S130" s="86" t="s">
        <v>880</v>
      </c>
      <c r="T130" s="86" t="s">
        <v>879</v>
      </c>
      <c r="U130" s="89" t="s">
        <v>380</v>
      </c>
      <c r="AG130" s="89" t="s">
        <v>176</v>
      </c>
      <c r="AH130" s="89" t="s">
        <v>177</v>
      </c>
      <c r="AK130" s="103" t="s">
        <v>1401</v>
      </c>
      <c r="AL130" s="124" t="s">
        <v>1214</v>
      </c>
      <c r="AM130" s="90" t="s">
        <v>908</v>
      </c>
      <c r="AN130" s="90" t="s">
        <v>908</v>
      </c>
      <c r="AO130" s="90" t="s">
        <v>907</v>
      </c>
      <c r="AP130" s="90" t="s">
        <v>907</v>
      </c>
      <c r="AQ130" s="93" t="s">
        <v>0</v>
      </c>
      <c r="AR130" s="93" t="s">
        <v>38</v>
      </c>
      <c r="AS130" s="90" t="s">
        <v>196</v>
      </c>
      <c r="AY130" s="94">
        <v>162.9</v>
      </c>
    </row>
    <row r="131" spans="1:54" s="157" customFormat="1" ht="12" customHeight="1" x14ac:dyDescent="0.15">
      <c r="A131" s="157" t="s">
        <v>1003</v>
      </c>
      <c r="B131" s="170">
        <v>201419</v>
      </c>
      <c r="C131" s="207" t="s">
        <v>1168</v>
      </c>
      <c r="D131" s="204" t="s">
        <v>1172</v>
      </c>
      <c r="E131" s="157" t="s">
        <v>906</v>
      </c>
      <c r="F131" s="159" t="s">
        <v>906</v>
      </c>
      <c r="G131" s="159" t="s">
        <v>907</v>
      </c>
      <c r="H131" s="157" t="s">
        <v>907</v>
      </c>
      <c r="I131" s="159" t="s">
        <v>187</v>
      </c>
      <c r="J131" s="159" t="s">
        <v>195</v>
      </c>
      <c r="K131" s="171" t="s">
        <v>193</v>
      </c>
      <c r="L131" s="159"/>
      <c r="M131" s="159" t="s">
        <v>361</v>
      </c>
      <c r="N131" s="159" t="s">
        <v>877</v>
      </c>
      <c r="O131" s="157" t="s">
        <v>188</v>
      </c>
      <c r="Q131" s="157" t="s">
        <v>878</v>
      </c>
      <c r="R131" s="157" t="s">
        <v>879</v>
      </c>
      <c r="S131" s="157" t="s">
        <v>880</v>
      </c>
      <c r="T131" s="157" t="s">
        <v>879</v>
      </c>
      <c r="U131" s="162" t="s">
        <v>380</v>
      </c>
      <c r="X131" s="159"/>
      <c r="Z131" s="159"/>
      <c r="AB131" s="159"/>
      <c r="AD131" s="159"/>
      <c r="AE131" s="159"/>
      <c r="AF131" s="159"/>
      <c r="AG131" s="157" t="s">
        <v>159</v>
      </c>
      <c r="AH131" s="157" t="s">
        <v>160</v>
      </c>
      <c r="AI131" s="163"/>
      <c r="AJ131" s="163"/>
      <c r="AK131" s="172" t="s">
        <v>1004</v>
      </c>
      <c r="AL131" s="163" t="s">
        <v>951</v>
      </c>
      <c r="AM131" s="163" t="s">
        <v>908</v>
      </c>
      <c r="AN131" s="163" t="s">
        <v>908</v>
      </c>
      <c r="AO131" s="163" t="s">
        <v>907</v>
      </c>
      <c r="AP131" s="163" t="s">
        <v>907</v>
      </c>
      <c r="AQ131" s="163" t="s">
        <v>0</v>
      </c>
      <c r="AR131" s="163" t="s">
        <v>38</v>
      </c>
      <c r="AS131" s="163" t="s">
        <v>196</v>
      </c>
      <c r="AT131" s="163"/>
      <c r="AU131" s="163"/>
      <c r="AV131" s="163"/>
      <c r="AY131" s="164">
        <v>135</v>
      </c>
    </row>
    <row r="132" spans="1:54" ht="12" customHeight="1" x14ac:dyDescent="0.15">
      <c r="A132" s="86" t="s">
        <v>915</v>
      </c>
      <c r="B132" s="127">
        <v>201420</v>
      </c>
      <c r="C132" s="212" t="s">
        <v>1541</v>
      </c>
      <c r="D132" s="204" t="s">
        <v>1007</v>
      </c>
      <c r="E132" s="97" t="s">
        <v>906</v>
      </c>
      <c r="F132" s="98" t="s">
        <v>906</v>
      </c>
      <c r="G132" s="98" t="s">
        <v>907</v>
      </c>
      <c r="H132" s="97" t="s">
        <v>907</v>
      </c>
      <c r="I132" s="98" t="s">
        <v>187</v>
      </c>
      <c r="J132" s="87" t="s">
        <v>37</v>
      </c>
      <c r="K132" s="88" t="s">
        <v>38</v>
      </c>
      <c r="L132" s="98"/>
      <c r="M132" s="98" t="s">
        <v>361</v>
      </c>
      <c r="N132" s="87" t="s">
        <v>1006</v>
      </c>
      <c r="O132" s="97" t="s">
        <v>188</v>
      </c>
      <c r="P132" s="97"/>
      <c r="Q132" s="97" t="s">
        <v>878</v>
      </c>
      <c r="R132" s="97" t="s">
        <v>879</v>
      </c>
      <c r="S132" s="97" t="s">
        <v>880</v>
      </c>
      <c r="T132" s="97" t="s">
        <v>879</v>
      </c>
      <c r="U132" s="99" t="s">
        <v>380</v>
      </c>
      <c r="V132" s="97"/>
      <c r="W132" s="97"/>
      <c r="X132" s="98"/>
      <c r="Y132" s="97"/>
      <c r="Z132" s="98"/>
      <c r="AA132" s="97"/>
      <c r="AB132" s="98"/>
      <c r="AC132" s="97"/>
      <c r="AD132" s="98"/>
      <c r="AE132" s="98"/>
      <c r="AF132" s="98"/>
      <c r="AG132" s="97" t="s">
        <v>159</v>
      </c>
      <c r="AH132" s="97" t="s">
        <v>160</v>
      </c>
      <c r="AI132" s="96"/>
      <c r="AJ132" s="96"/>
      <c r="AK132" s="102" t="s">
        <v>1354</v>
      </c>
      <c r="AL132" s="96" t="s">
        <v>1008</v>
      </c>
      <c r="AM132" s="96" t="s">
        <v>908</v>
      </c>
      <c r="AN132" s="96" t="s">
        <v>908</v>
      </c>
      <c r="AO132" s="96" t="s">
        <v>907</v>
      </c>
      <c r="AP132" s="96" t="s">
        <v>907</v>
      </c>
      <c r="AQ132" s="93" t="s">
        <v>0</v>
      </c>
      <c r="AR132" s="93" t="s">
        <v>38</v>
      </c>
      <c r="AS132" s="96" t="s">
        <v>196</v>
      </c>
      <c r="AT132" s="96"/>
      <c r="AU132" s="96"/>
      <c r="AV132" s="96"/>
      <c r="AW132" s="97"/>
      <c r="AX132" s="97"/>
      <c r="AY132" s="94">
        <v>108.5</v>
      </c>
    </row>
    <row r="133" spans="1:54" ht="12.75" customHeight="1" x14ac:dyDescent="0.15">
      <c r="A133" s="86" t="s">
        <v>916</v>
      </c>
      <c r="B133" s="111">
        <v>201421</v>
      </c>
      <c r="C133" s="207" t="s">
        <v>1542</v>
      </c>
      <c r="D133" s="204" t="s">
        <v>1010</v>
      </c>
      <c r="E133" s="97" t="s">
        <v>1001</v>
      </c>
      <c r="F133" s="98" t="s">
        <v>1001</v>
      </c>
      <c r="G133" s="98" t="s">
        <v>907</v>
      </c>
      <c r="H133" s="97" t="s">
        <v>907</v>
      </c>
      <c r="I133" s="98" t="s">
        <v>187</v>
      </c>
      <c r="J133" s="87" t="s">
        <v>195</v>
      </c>
      <c r="K133" s="88" t="s">
        <v>193</v>
      </c>
      <c r="L133" s="98"/>
      <c r="M133" s="98" t="s">
        <v>361</v>
      </c>
      <c r="N133" s="87" t="s">
        <v>877</v>
      </c>
      <c r="O133" s="97" t="s">
        <v>188</v>
      </c>
      <c r="P133" s="97"/>
      <c r="Q133" s="97" t="s">
        <v>878</v>
      </c>
      <c r="R133" s="97" t="s">
        <v>879</v>
      </c>
      <c r="S133" s="97" t="s">
        <v>880</v>
      </c>
      <c r="T133" s="97" t="s">
        <v>879</v>
      </c>
      <c r="U133" s="99" t="s">
        <v>380</v>
      </c>
      <c r="V133" s="97"/>
      <c r="W133" s="97"/>
      <c r="X133" s="98"/>
      <c r="Y133" s="97"/>
      <c r="Z133" s="98"/>
      <c r="AA133" s="97"/>
      <c r="AB133" s="98"/>
      <c r="AC133" s="97"/>
      <c r="AD133" s="98"/>
      <c r="AE133" s="98"/>
      <c r="AF133" s="98"/>
      <c r="AG133" s="97" t="s">
        <v>159</v>
      </c>
      <c r="AH133" s="97" t="s">
        <v>160</v>
      </c>
      <c r="AI133" s="96"/>
      <c r="AJ133" s="96"/>
      <c r="AK133" s="101" t="s">
        <v>1355</v>
      </c>
      <c r="AL133" s="96" t="s">
        <v>1011</v>
      </c>
      <c r="AM133" s="96" t="s">
        <v>908</v>
      </c>
      <c r="AN133" s="96" t="s">
        <v>908</v>
      </c>
      <c r="AO133" s="96" t="s">
        <v>907</v>
      </c>
      <c r="AP133" s="96" t="s">
        <v>907</v>
      </c>
      <c r="AQ133" s="93" t="s">
        <v>0</v>
      </c>
      <c r="AR133" s="93" t="s">
        <v>38</v>
      </c>
      <c r="AS133" s="96" t="s">
        <v>196</v>
      </c>
      <c r="AT133" s="96"/>
      <c r="AU133" s="96"/>
      <c r="AV133" s="96"/>
      <c r="AW133" s="97"/>
      <c r="AX133" s="97"/>
      <c r="AY133" s="94">
        <v>162.9</v>
      </c>
    </row>
    <row r="134" spans="1:54" ht="12" customHeight="1" x14ac:dyDescent="0.15">
      <c r="A134" s="86" t="s">
        <v>917</v>
      </c>
      <c r="B134" s="127">
        <v>201422</v>
      </c>
      <c r="C134" s="212" t="s">
        <v>1543</v>
      </c>
      <c r="D134" s="204" t="s">
        <v>997</v>
      </c>
      <c r="E134" s="97" t="s">
        <v>1002</v>
      </c>
      <c r="F134" s="98" t="s">
        <v>1001</v>
      </c>
      <c r="G134" s="98" t="s">
        <v>907</v>
      </c>
      <c r="H134" s="97" t="s">
        <v>907</v>
      </c>
      <c r="I134" s="98" t="s">
        <v>187</v>
      </c>
      <c r="J134" s="87" t="s">
        <v>195</v>
      </c>
      <c r="K134" s="88" t="s">
        <v>193</v>
      </c>
      <c r="L134" s="98"/>
      <c r="M134" s="98" t="s">
        <v>361</v>
      </c>
      <c r="N134" s="87" t="s">
        <v>877</v>
      </c>
      <c r="O134" s="97" t="s">
        <v>188</v>
      </c>
      <c r="P134" s="97"/>
      <c r="Q134" s="97" t="s">
        <v>878</v>
      </c>
      <c r="R134" s="97" t="s">
        <v>879</v>
      </c>
      <c r="S134" s="97" t="s">
        <v>880</v>
      </c>
      <c r="T134" s="97" t="s">
        <v>879</v>
      </c>
      <c r="U134" s="99" t="s">
        <v>380</v>
      </c>
      <c r="V134" s="97"/>
      <c r="W134" s="97"/>
      <c r="X134" s="98"/>
      <c r="Y134" s="97"/>
      <c r="Z134" s="98"/>
      <c r="AA134" s="97"/>
      <c r="AB134" s="98"/>
      <c r="AC134" s="97"/>
      <c r="AD134" s="98"/>
      <c r="AE134" s="98"/>
      <c r="AF134" s="98"/>
      <c r="AG134" s="97" t="s">
        <v>159</v>
      </c>
      <c r="AH134" s="97" t="s">
        <v>160</v>
      </c>
      <c r="AI134" s="96"/>
      <c r="AJ134" s="96"/>
      <c r="AK134" s="102" t="s">
        <v>1356</v>
      </c>
      <c r="AL134" s="96" t="s">
        <v>998</v>
      </c>
      <c r="AM134" s="96" t="s">
        <v>908</v>
      </c>
      <c r="AN134" s="96" t="s">
        <v>908</v>
      </c>
      <c r="AO134" s="96" t="s">
        <v>907</v>
      </c>
      <c r="AP134" s="96" t="s">
        <v>907</v>
      </c>
      <c r="AQ134" s="93" t="s">
        <v>0</v>
      </c>
      <c r="AR134" s="93" t="s">
        <v>38</v>
      </c>
      <c r="AS134" s="96" t="s">
        <v>196</v>
      </c>
      <c r="AT134" s="96"/>
      <c r="AU134" s="96"/>
      <c r="AV134" s="96"/>
      <c r="AW134" s="97"/>
      <c r="AX134" s="97"/>
      <c r="AY134" s="94">
        <v>162.9</v>
      </c>
    </row>
    <row r="135" spans="1:54" ht="12" customHeight="1" x14ac:dyDescent="0.15">
      <c r="A135" s="86" t="s">
        <v>918</v>
      </c>
      <c r="B135" s="111">
        <v>201423</v>
      </c>
      <c r="C135" s="207" t="s">
        <v>1544</v>
      </c>
      <c r="D135" s="204" t="s">
        <v>1158</v>
      </c>
      <c r="E135" s="97" t="s">
        <v>1002</v>
      </c>
      <c r="F135" s="98" t="s">
        <v>1001</v>
      </c>
      <c r="G135" s="98" t="s">
        <v>907</v>
      </c>
      <c r="H135" s="97" t="s">
        <v>907</v>
      </c>
      <c r="I135" s="98" t="s">
        <v>187</v>
      </c>
      <c r="J135" s="87" t="s">
        <v>195</v>
      </c>
      <c r="K135" s="88" t="s">
        <v>193</v>
      </c>
      <c r="L135" s="98"/>
      <c r="M135" s="98" t="s">
        <v>361</v>
      </c>
      <c r="N135" s="87" t="s">
        <v>877</v>
      </c>
      <c r="O135" s="97" t="s">
        <v>188</v>
      </c>
      <c r="P135" s="97"/>
      <c r="Q135" s="97" t="s">
        <v>878</v>
      </c>
      <c r="R135" s="97" t="s">
        <v>879</v>
      </c>
      <c r="S135" s="97" t="s">
        <v>880</v>
      </c>
      <c r="T135" s="97" t="s">
        <v>879</v>
      </c>
      <c r="U135" s="99" t="s">
        <v>380</v>
      </c>
      <c r="V135" s="97"/>
      <c r="W135" s="97"/>
      <c r="X135" s="98"/>
      <c r="Y135" s="97"/>
      <c r="Z135" s="98"/>
      <c r="AA135" s="97"/>
      <c r="AB135" s="98"/>
      <c r="AC135" s="97"/>
      <c r="AD135" s="98"/>
      <c r="AE135" s="98"/>
      <c r="AF135" s="98"/>
      <c r="AG135" s="97" t="s">
        <v>159</v>
      </c>
      <c r="AH135" s="97" t="s">
        <v>160</v>
      </c>
      <c r="AI135" s="96"/>
      <c r="AJ135" s="96"/>
      <c r="AK135" s="101" t="s">
        <v>1357</v>
      </c>
      <c r="AL135" s="96" t="s">
        <v>1157</v>
      </c>
      <c r="AM135" s="96" t="s">
        <v>1118</v>
      </c>
      <c r="AN135" s="96" t="s">
        <v>908</v>
      </c>
      <c r="AO135" s="96" t="s">
        <v>907</v>
      </c>
      <c r="AP135" s="96" t="s">
        <v>907</v>
      </c>
      <c r="AQ135" s="93" t="s">
        <v>0</v>
      </c>
      <c r="AR135" s="93" t="s">
        <v>38</v>
      </c>
      <c r="AS135" s="96" t="s">
        <v>196</v>
      </c>
      <c r="AT135" s="96"/>
      <c r="AU135" s="96"/>
      <c r="AV135" s="96"/>
      <c r="AW135" s="97"/>
      <c r="AX135" s="97"/>
      <c r="AY135" s="94">
        <v>162.9</v>
      </c>
    </row>
    <row r="136" spans="1:54" ht="12" customHeight="1" x14ac:dyDescent="0.15">
      <c r="A136" s="86" t="s">
        <v>919</v>
      </c>
      <c r="B136" s="125">
        <v>201424</v>
      </c>
      <c r="C136" s="206" t="s">
        <v>991</v>
      </c>
      <c r="D136" s="204" t="s">
        <v>952</v>
      </c>
      <c r="E136" s="86" t="s">
        <v>906</v>
      </c>
      <c r="F136" s="6" t="s">
        <v>906</v>
      </c>
      <c r="G136" s="6" t="s">
        <v>907</v>
      </c>
      <c r="H136" s="86" t="s">
        <v>907</v>
      </c>
      <c r="I136" s="6" t="s">
        <v>187</v>
      </c>
      <c r="J136" s="139" t="s">
        <v>0</v>
      </c>
      <c r="K136" s="140" t="s">
        <v>38</v>
      </c>
      <c r="M136" s="6" t="s">
        <v>361</v>
      </c>
      <c r="O136" s="86" t="s">
        <v>188</v>
      </c>
      <c r="Q136" s="86" t="s">
        <v>878</v>
      </c>
      <c r="R136" s="86" t="s">
        <v>879</v>
      </c>
      <c r="S136" s="86" t="s">
        <v>880</v>
      </c>
      <c r="T136" s="86" t="s">
        <v>879</v>
      </c>
      <c r="U136" s="89" t="s">
        <v>380</v>
      </c>
      <c r="AG136" s="89" t="s">
        <v>176</v>
      </c>
      <c r="AH136" s="89" t="s">
        <v>177</v>
      </c>
      <c r="AK136" s="103" t="s">
        <v>1174</v>
      </c>
      <c r="AL136" s="124" t="s">
        <v>953</v>
      </c>
      <c r="AM136" s="90" t="s">
        <v>908</v>
      </c>
      <c r="AN136" s="90" t="s">
        <v>908</v>
      </c>
      <c r="AO136" s="90" t="s">
        <v>907</v>
      </c>
      <c r="AP136" s="90" t="s">
        <v>907</v>
      </c>
      <c r="AQ136" s="93" t="s">
        <v>0</v>
      </c>
      <c r="AR136" s="93" t="s">
        <v>38</v>
      </c>
      <c r="AS136" s="90" t="s">
        <v>196</v>
      </c>
      <c r="AY136" s="94">
        <v>108.5</v>
      </c>
    </row>
    <row r="137" spans="1:54" ht="12" customHeight="1" x14ac:dyDescent="0.15">
      <c r="A137" s="86" t="s">
        <v>920</v>
      </c>
      <c r="B137" s="125">
        <v>201425</v>
      </c>
      <c r="C137" s="206" t="s">
        <v>992</v>
      </c>
      <c r="D137" s="204" t="s">
        <v>954</v>
      </c>
      <c r="E137" s="86" t="s">
        <v>906</v>
      </c>
      <c r="F137" s="6" t="s">
        <v>906</v>
      </c>
      <c r="G137" s="6" t="s">
        <v>907</v>
      </c>
      <c r="H137" s="86" t="s">
        <v>907</v>
      </c>
      <c r="I137" s="6" t="s">
        <v>187</v>
      </c>
      <c r="J137" s="139" t="s">
        <v>0</v>
      </c>
      <c r="K137" s="140" t="s">
        <v>38</v>
      </c>
      <c r="M137" s="6" t="s">
        <v>361</v>
      </c>
      <c r="O137" s="86" t="s">
        <v>188</v>
      </c>
      <c r="Q137" s="86" t="s">
        <v>878</v>
      </c>
      <c r="R137" s="86" t="s">
        <v>879</v>
      </c>
      <c r="S137" s="86" t="s">
        <v>880</v>
      </c>
      <c r="T137" s="86" t="s">
        <v>879</v>
      </c>
      <c r="U137" s="89" t="s">
        <v>380</v>
      </c>
      <c r="AG137" s="89" t="s">
        <v>176</v>
      </c>
      <c r="AH137" s="89" t="s">
        <v>177</v>
      </c>
      <c r="AK137" s="103" t="s">
        <v>1005</v>
      </c>
      <c r="AL137" s="124" t="s">
        <v>955</v>
      </c>
      <c r="AM137" s="90" t="s">
        <v>908</v>
      </c>
      <c r="AN137" s="90" t="s">
        <v>908</v>
      </c>
      <c r="AO137" s="90" t="s">
        <v>907</v>
      </c>
      <c r="AP137" s="90" t="s">
        <v>907</v>
      </c>
      <c r="AQ137" s="93" t="s">
        <v>0</v>
      </c>
      <c r="AR137" s="93" t="s">
        <v>38</v>
      </c>
      <c r="AS137" s="90" t="s">
        <v>196</v>
      </c>
      <c r="AY137" s="94">
        <v>108.5</v>
      </c>
    </row>
    <row r="138" spans="1:54" s="157" customFormat="1" ht="12" customHeight="1" x14ac:dyDescent="0.15">
      <c r="A138" s="157" t="s">
        <v>921</v>
      </c>
      <c r="B138" s="157">
        <v>201426</v>
      </c>
      <c r="C138" s="211" t="s">
        <v>938</v>
      </c>
      <c r="D138" s="205" t="s">
        <v>1171</v>
      </c>
      <c r="E138" s="157" t="s">
        <v>906</v>
      </c>
      <c r="F138" s="159" t="s">
        <v>906</v>
      </c>
      <c r="G138" s="159" t="s">
        <v>907</v>
      </c>
      <c r="H138" s="157" t="s">
        <v>907</v>
      </c>
      <c r="I138" s="159" t="s">
        <v>187</v>
      </c>
      <c r="J138" s="159" t="s">
        <v>195</v>
      </c>
      <c r="K138" s="171" t="s">
        <v>193</v>
      </c>
      <c r="L138" s="159"/>
      <c r="M138" s="159" t="s">
        <v>361</v>
      </c>
      <c r="N138" s="159"/>
      <c r="O138" s="157" t="s">
        <v>188</v>
      </c>
      <c r="Q138" s="157" t="s">
        <v>878</v>
      </c>
      <c r="R138" s="157" t="s">
        <v>879</v>
      </c>
      <c r="S138" s="157" t="s">
        <v>880</v>
      </c>
      <c r="T138" s="157" t="s">
        <v>879</v>
      </c>
      <c r="U138" s="162" t="s">
        <v>380</v>
      </c>
      <c r="X138" s="159"/>
      <c r="Z138" s="159"/>
      <c r="AB138" s="159"/>
      <c r="AD138" s="159"/>
      <c r="AE138" s="159"/>
      <c r="AF138" s="159"/>
      <c r="AG138" s="162" t="s">
        <v>176</v>
      </c>
      <c r="AH138" s="162" t="s">
        <v>177</v>
      </c>
      <c r="AI138" s="163"/>
      <c r="AJ138" s="163"/>
      <c r="AK138" s="163" t="s">
        <v>1169</v>
      </c>
      <c r="AL138" s="157" t="s">
        <v>956</v>
      </c>
      <c r="AM138" s="163" t="s">
        <v>908</v>
      </c>
      <c r="AN138" s="163" t="s">
        <v>908</v>
      </c>
      <c r="AO138" s="163" t="s">
        <v>907</v>
      </c>
      <c r="AP138" s="163" t="s">
        <v>907</v>
      </c>
      <c r="AQ138" s="163" t="s">
        <v>0</v>
      </c>
      <c r="AR138" s="163" t="s">
        <v>38</v>
      </c>
      <c r="AS138" s="163" t="s">
        <v>196</v>
      </c>
      <c r="AT138" s="163"/>
      <c r="AU138" s="163"/>
      <c r="AV138" s="163"/>
      <c r="AX138" s="157" t="s">
        <v>975</v>
      </c>
      <c r="AY138" s="164"/>
    </row>
    <row r="139" spans="1:54" ht="12" customHeight="1" x14ac:dyDescent="0.15">
      <c r="A139" s="86" t="s">
        <v>922</v>
      </c>
      <c r="B139" s="125">
        <v>201427</v>
      </c>
      <c r="C139" s="204" t="s">
        <v>1545</v>
      </c>
      <c r="D139" s="204" t="s">
        <v>1161</v>
      </c>
      <c r="E139" s="86" t="s">
        <v>1159</v>
      </c>
      <c r="F139" s="6" t="s">
        <v>906</v>
      </c>
      <c r="G139" s="6" t="s">
        <v>907</v>
      </c>
      <c r="H139" s="86" t="s">
        <v>907</v>
      </c>
      <c r="I139" s="87" t="s">
        <v>187</v>
      </c>
      <c r="J139" s="87" t="s">
        <v>37</v>
      </c>
      <c r="K139" s="88" t="s">
        <v>38</v>
      </c>
      <c r="M139" s="6" t="s">
        <v>361</v>
      </c>
      <c r="N139" s="87" t="s">
        <v>877</v>
      </c>
      <c r="O139" s="86" t="s">
        <v>188</v>
      </c>
      <c r="Q139" s="86" t="s">
        <v>878</v>
      </c>
      <c r="R139" s="86" t="s">
        <v>879</v>
      </c>
      <c r="S139" s="86" t="s">
        <v>880</v>
      </c>
      <c r="T139" s="86" t="s">
        <v>879</v>
      </c>
      <c r="U139" s="89" t="s">
        <v>380</v>
      </c>
      <c r="AG139" s="89" t="s">
        <v>176</v>
      </c>
      <c r="AH139" s="89" t="s">
        <v>177</v>
      </c>
      <c r="AK139" s="95" t="s">
        <v>1358</v>
      </c>
      <c r="AL139" s="92" t="s">
        <v>1156</v>
      </c>
      <c r="AM139" s="90" t="s">
        <v>1160</v>
      </c>
      <c r="AN139" s="90" t="s">
        <v>908</v>
      </c>
      <c r="AO139" s="90" t="s">
        <v>907</v>
      </c>
      <c r="AP139" s="90" t="s">
        <v>907</v>
      </c>
      <c r="AQ139" s="93" t="s">
        <v>0</v>
      </c>
      <c r="AR139" s="93" t="s">
        <v>38</v>
      </c>
      <c r="AS139" s="90" t="s">
        <v>196</v>
      </c>
      <c r="AY139" s="94">
        <v>108.5</v>
      </c>
    </row>
    <row r="140" spans="1:54" ht="12" customHeight="1" x14ac:dyDescent="0.15">
      <c r="A140" s="86" t="s">
        <v>924</v>
      </c>
      <c r="B140" s="125">
        <v>201428</v>
      </c>
      <c r="C140" s="204" t="s">
        <v>1546</v>
      </c>
      <c r="D140" s="204" t="s">
        <v>1000</v>
      </c>
      <c r="E140" s="86" t="s">
        <v>1001</v>
      </c>
      <c r="F140" s="6" t="s">
        <v>1001</v>
      </c>
      <c r="G140" s="6" t="s">
        <v>907</v>
      </c>
      <c r="H140" s="86" t="s">
        <v>907</v>
      </c>
      <c r="I140" s="87" t="s">
        <v>187</v>
      </c>
      <c r="J140" s="87" t="s">
        <v>195</v>
      </c>
      <c r="K140" s="88" t="s">
        <v>193</v>
      </c>
      <c r="M140" s="6" t="s">
        <v>361</v>
      </c>
      <c r="N140" s="87" t="s">
        <v>877</v>
      </c>
      <c r="O140" s="86" t="s">
        <v>188</v>
      </c>
      <c r="Q140" s="86" t="s">
        <v>878</v>
      </c>
      <c r="R140" s="86" t="s">
        <v>879</v>
      </c>
      <c r="S140" s="86" t="s">
        <v>880</v>
      </c>
      <c r="T140" s="86" t="s">
        <v>879</v>
      </c>
      <c r="U140" s="89" t="s">
        <v>380</v>
      </c>
      <c r="AG140" s="89" t="s">
        <v>176</v>
      </c>
      <c r="AH140" s="89" t="s">
        <v>177</v>
      </c>
      <c r="AK140" s="91" t="s">
        <v>1359</v>
      </c>
      <c r="AL140" s="92" t="s">
        <v>999</v>
      </c>
      <c r="AM140" s="90" t="s">
        <v>908</v>
      </c>
      <c r="AN140" s="90" t="s">
        <v>908</v>
      </c>
      <c r="AO140" s="90" t="s">
        <v>907</v>
      </c>
      <c r="AP140" s="90" t="s">
        <v>907</v>
      </c>
      <c r="AQ140" s="93" t="s">
        <v>0</v>
      </c>
      <c r="AR140" s="93" t="s">
        <v>38</v>
      </c>
      <c r="AS140" s="90" t="s">
        <v>196</v>
      </c>
      <c r="AY140" s="94">
        <v>162.9</v>
      </c>
    </row>
    <row r="141" spans="1:54" ht="12" customHeight="1" x14ac:dyDescent="0.15">
      <c r="A141" s="86" t="s">
        <v>925</v>
      </c>
      <c r="B141" s="111">
        <v>201429</v>
      </c>
      <c r="C141" s="213" t="s">
        <v>1415</v>
      </c>
      <c r="D141" s="205" t="s">
        <v>976</v>
      </c>
      <c r="E141" s="129" t="s">
        <v>1166</v>
      </c>
      <c r="F141" s="129" t="s">
        <v>1166</v>
      </c>
      <c r="G141" s="130" t="s">
        <v>907</v>
      </c>
      <c r="H141" s="131" t="s">
        <v>907</v>
      </c>
      <c r="I141" s="130" t="s">
        <v>187</v>
      </c>
      <c r="J141" s="6" t="s">
        <v>1080</v>
      </c>
      <c r="K141" s="6" t="s">
        <v>1081</v>
      </c>
      <c r="L141" s="130"/>
      <c r="M141" s="12" t="s">
        <v>361</v>
      </c>
      <c r="N141" s="12" t="s">
        <v>146</v>
      </c>
      <c r="O141" s="131" t="s">
        <v>188</v>
      </c>
      <c r="P141" s="131"/>
      <c r="Q141" s="131" t="s">
        <v>878</v>
      </c>
      <c r="R141" s="131" t="s">
        <v>879</v>
      </c>
      <c r="S141" s="131" t="s">
        <v>880</v>
      </c>
      <c r="T141" s="131" t="s">
        <v>879</v>
      </c>
      <c r="U141" s="134" t="s">
        <v>380</v>
      </c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134"/>
      <c r="AH141" s="134"/>
      <c r="AI141" s="131"/>
      <c r="AJ141" s="129"/>
      <c r="AK141" s="131" t="s">
        <v>1360</v>
      </c>
      <c r="AL141" s="129" t="s">
        <v>976</v>
      </c>
      <c r="AM141" s="131" t="s">
        <v>1118</v>
      </c>
      <c r="AN141" s="131" t="s">
        <v>993</v>
      </c>
      <c r="AO141" s="131" t="s">
        <v>907</v>
      </c>
      <c r="AP141" s="131" t="s">
        <v>907</v>
      </c>
      <c r="AQ141" s="131" t="s">
        <v>37</v>
      </c>
      <c r="AR141" s="131" t="s">
        <v>38</v>
      </c>
      <c r="AS141" s="131" t="s">
        <v>977</v>
      </c>
      <c r="AT141" s="131" t="s">
        <v>978</v>
      </c>
      <c r="AU141" s="131" t="s">
        <v>979</v>
      </c>
      <c r="AV141" s="131" t="s">
        <v>977</v>
      </c>
      <c r="AY141" s="33" t="s">
        <v>1152</v>
      </c>
      <c r="AZ141" s="94">
        <v>551.5</v>
      </c>
      <c r="BA141" s="94">
        <v>501.5</v>
      </c>
      <c r="BB141" s="94">
        <v>476.5</v>
      </c>
    </row>
    <row r="142" spans="1:54" ht="12" customHeight="1" x14ac:dyDescent="0.15">
      <c r="A142" s="86" t="s">
        <v>926</v>
      </c>
      <c r="B142" s="86">
        <v>201430</v>
      </c>
      <c r="C142" s="204" t="s">
        <v>1547</v>
      </c>
      <c r="D142" s="205" t="s">
        <v>981</v>
      </c>
      <c r="E142" s="131" t="s">
        <v>1119</v>
      </c>
      <c r="F142" s="130" t="s">
        <v>140</v>
      </c>
      <c r="G142" s="130" t="s">
        <v>141</v>
      </c>
      <c r="H142" s="131" t="s">
        <v>141</v>
      </c>
      <c r="I142" s="130" t="s">
        <v>187</v>
      </c>
      <c r="J142" s="130" t="s">
        <v>37</v>
      </c>
      <c r="K142" s="130" t="s">
        <v>38</v>
      </c>
      <c r="L142" s="130"/>
      <c r="M142" s="130" t="s">
        <v>361</v>
      </c>
      <c r="N142" s="130" t="s">
        <v>877</v>
      </c>
      <c r="O142" s="131" t="s">
        <v>188</v>
      </c>
      <c r="P142" s="131"/>
      <c r="Q142" s="131" t="s">
        <v>878</v>
      </c>
      <c r="R142" s="131" t="s">
        <v>879</v>
      </c>
      <c r="S142" s="131" t="s">
        <v>880</v>
      </c>
      <c r="T142" s="131" t="s">
        <v>879</v>
      </c>
      <c r="U142" s="131" t="s">
        <v>881</v>
      </c>
      <c r="V142" s="131"/>
      <c r="W142" s="131"/>
      <c r="X142" s="130"/>
      <c r="Y142" s="131"/>
      <c r="Z142" s="130"/>
      <c r="AA142" s="131"/>
      <c r="AB142" s="130"/>
      <c r="AC142" s="131"/>
      <c r="AD142" s="130"/>
      <c r="AE142" s="130"/>
      <c r="AF142" s="130"/>
      <c r="AG142" s="131" t="s">
        <v>159</v>
      </c>
      <c r="AH142" s="131" t="s">
        <v>160</v>
      </c>
      <c r="AI142" s="131"/>
      <c r="AJ142" s="131"/>
      <c r="AK142" s="131" t="s">
        <v>1375</v>
      </c>
      <c r="AL142" s="129" t="s">
        <v>980</v>
      </c>
      <c r="AM142" s="131" t="s">
        <v>1120</v>
      </c>
      <c r="AN142" s="131" t="s">
        <v>144</v>
      </c>
      <c r="AO142" s="131" t="s">
        <v>141</v>
      </c>
      <c r="AP142" s="131" t="s">
        <v>141</v>
      </c>
      <c r="AQ142" s="131" t="s">
        <v>37</v>
      </c>
      <c r="AR142" s="131" t="s">
        <v>38</v>
      </c>
      <c r="AS142" s="131" t="s">
        <v>879</v>
      </c>
      <c r="AT142" s="131" t="s">
        <v>878</v>
      </c>
      <c r="AU142" s="131" t="s">
        <v>882</v>
      </c>
      <c r="AV142" s="131" t="s">
        <v>879</v>
      </c>
      <c r="AY142" s="33">
        <v>107.5</v>
      </c>
    </row>
    <row r="143" spans="1:54" s="157" customFormat="1" ht="12" customHeight="1" x14ac:dyDescent="0.15">
      <c r="A143" s="157" t="s">
        <v>927</v>
      </c>
      <c r="B143" s="157">
        <v>201431</v>
      </c>
      <c r="C143" s="204" t="s">
        <v>1009</v>
      </c>
      <c r="D143" s="205" t="s">
        <v>1173</v>
      </c>
      <c r="E143" s="157" t="s">
        <v>906</v>
      </c>
      <c r="F143" s="159" t="s">
        <v>906</v>
      </c>
      <c r="G143" s="159" t="s">
        <v>907</v>
      </c>
      <c r="H143" s="157" t="s">
        <v>907</v>
      </c>
      <c r="I143" s="159" t="s">
        <v>187</v>
      </c>
      <c r="J143" s="159" t="s">
        <v>37</v>
      </c>
      <c r="K143" s="159" t="s">
        <v>38</v>
      </c>
      <c r="L143" s="159"/>
      <c r="M143" s="159" t="s">
        <v>196</v>
      </c>
      <c r="N143" s="159"/>
      <c r="O143" s="157" t="s">
        <v>188</v>
      </c>
      <c r="Q143" s="157" t="s">
        <v>878</v>
      </c>
      <c r="R143" s="157" t="s">
        <v>879</v>
      </c>
      <c r="S143" s="157" t="s">
        <v>880</v>
      </c>
      <c r="T143" s="157" t="s">
        <v>879</v>
      </c>
      <c r="U143" s="162" t="s">
        <v>380</v>
      </c>
      <c r="X143" s="159"/>
      <c r="Z143" s="159"/>
      <c r="AB143" s="159"/>
      <c r="AD143" s="159"/>
      <c r="AE143" s="159"/>
      <c r="AF143" s="159"/>
      <c r="AG143" s="157" t="s">
        <v>159</v>
      </c>
      <c r="AH143" s="157" t="s">
        <v>160</v>
      </c>
      <c r="AI143" s="163"/>
      <c r="AJ143" s="163"/>
      <c r="AK143" s="157" t="s">
        <v>939</v>
      </c>
      <c r="AL143" s="157" t="s">
        <v>960</v>
      </c>
      <c r="AM143" s="163" t="s">
        <v>908</v>
      </c>
      <c r="AN143" s="163" t="s">
        <v>908</v>
      </c>
      <c r="AO143" s="163" t="s">
        <v>907</v>
      </c>
      <c r="AP143" s="163" t="s">
        <v>907</v>
      </c>
      <c r="AQ143" s="163" t="s">
        <v>37</v>
      </c>
      <c r="AR143" s="163" t="s">
        <v>38</v>
      </c>
      <c r="AS143" s="163" t="s">
        <v>957</v>
      </c>
      <c r="AT143" s="163" t="s">
        <v>958</v>
      </c>
      <c r="AU143" s="163" t="s">
        <v>959</v>
      </c>
      <c r="AV143" s="163" t="s">
        <v>957</v>
      </c>
      <c r="AY143" s="164"/>
    </row>
    <row r="144" spans="1:54" ht="12" customHeight="1" x14ac:dyDescent="0.15">
      <c r="A144" s="86" t="s">
        <v>928</v>
      </c>
      <c r="B144" s="125">
        <v>201432</v>
      </c>
      <c r="C144" s="204" t="s">
        <v>1548</v>
      </c>
      <c r="D144" s="204" t="s">
        <v>1227</v>
      </c>
      <c r="E144" s="86" t="s">
        <v>906</v>
      </c>
      <c r="F144" s="6" t="s">
        <v>906</v>
      </c>
      <c r="G144" s="6" t="s">
        <v>907</v>
      </c>
      <c r="H144" s="86" t="s">
        <v>907</v>
      </c>
      <c r="I144" s="6" t="s">
        <v>187</v>
      </c>
      <c r="J144" s="6" t="s">
        <v>37</v>
      </c>
      <c r="K144" s="6" t="s">
        <v>38</v>
      </c>
      <c r="M144" s="6" t="s">
        <v>196</v>
      </c>
      <c r="O144" s="86" t="s">
        <v>188</v>
      </c>
      <c r="Q144" s="86" t="s">
        <v>878</v>
      </c>
      <c r="R144" s="86" t="s">
        <v>879</v>
      </c>
      <c r="S144" s="86" t="s">
        <v>880</v>
      </c>
      <c r="T144" s="86" t="s">
        <v>879</v>
      </c>
      <c r="U144" s="89" t="s">
        <v>380</v>
      </c>
      <c r="AG144" s="86" t="s">
        <v>159</v>
      </c>
      <c r="AH144" s="86" t="s">
        <v>160</v>
      </c>
      <c r="AK144" s="126" t="s">
        <v>1382</v>
      </c>
      <c r="AL144" s="126" t="s">
        <v>1228</v>
      </c>
      <c r="AM144" s="90" t="s">
        <v>908</v>
      </c>
      <c r="AN144" s="90" t="s">
        <v>908</v>
      </c>
      <c r="AO144" s="90" t="s">
        <v>907</v>
      </c>
      <c r="AP144" s="90" t="s">
        <v>907</v>
      </c>
      <c r="AQ144" s="90" t="s">
        <v>37</v>
      </c>
      <c r="AR144" s="90" t="s">
        <v>38</v>
      </c>
      <c r="AS144" s="90" t="s">
        <v>957</v>
      </c>
      <c r="AT144" s="90" t="s">
        <v>958</v>
      </c>
      <c r="AU144" s="90" t="s">
        <v>959</v>
      </c>
      <c r="AV144" s="90" t="s">
        <v>957</v>
      </c>
      <c r="AY144" s="33">
        <v>108.5</v>
      </c>
    </row>
    <row r="145" spans="1:54" ht="12" customHeight="1" x14ac:dyDescent="0.15">
      <c r="A145" s="86" t="s">
        <v>929</v>
      </c>
      <c r="B145" s="125">
        <v>201433</v>
      </c>
      <c r="C145" s="204" t="s">
        <v>923</v>
      </c>
      <c r="D145" s="204" t="s">
        <v>961</v>
      </c>
      <c r="E145" s="86" t="s">
        <v>908</v>
      </c>
      <c r="F145" s="6" t="s">
        <v>908</v>
      </c>
      <c r="G145" s="6" t="s">
        <v>907</v>
      </c>
      <c r="H145" s="86" t="s">
        <v>907</v>
      </c>
      <c r="I145" s="6" t="s">
        <v>187</v>
      </c>
      <c r="J145" s="6" t="s">
        <v>909</v>
      </c>
      <c r="K145" s="6" t="s">
        <v>910</v>
      </c>
      <c r="M145" s="6" t="s">
        <v>196</v>
      </c>
      <c r="O145" s="86" t="s">
        <v>188</v>
      </c>
      <c r="Q145" s="86" t="s">
        <v>878</v>
      </c>
      <c r="R145" s="86" t="s">
        <v>879</v>
      </c>
      <c r="S145" s="86" t="s">
        <v>880</v>
      </c>
      <c r="T145" s="86" t="s">
        <v>879</v>
      </c>
      <c r="U145" s="89" t="s">
        <v>380</v>
      </c>
      <c r="AG145" s="86" t="s">
        <v>159</v>
      </c>
      <c r="AH145" s="86" t="s">
        <v>160</v>
      </c>
      <c r="AK145" s="100"/>
      <c r="AY145" s="33">
        <v>26</v>
      </c>
    </row>
    <row r="146" spans="1:54" ht="12" customHeight="1" x14ac:dyDescent="0.15">
      <c r="A146" s="86" t="s">
        <v>930</v>
      </c>
      <c r="B146" s="123">
        <v>201435</v>
      </c>
      <c r="C146" s="206" t="s">
        <v>984</v>
      </c>
      <c r="D146" s="204" t="s">
        <v>962</v>
      </c>
      <c r="E146" s="86" t="s">
        <v>906</v>
      </c>
      <c r="F146" s="6" t="s">
        <v>906</v>
      </c>
      <c r="G146" s="6" t="s">
        <v>907</v>
      </c>
      <c r="H146" s="86" t="s">
        <v>907</v>
      </c>
      <c r="I146" s="6" t="s">
        <v>187</v>
      </c>
      <c r="J146" s="6" t="s">
        <v>37</v>
      </c>
      <c r="K146" s="6" t="s">
        <v>38</v>
      </c>
      <c r="M146" s="6" t="s">
        <v>196</v>
      </c>
      <c r="O146" s="86" t="s">
        <v>188</v>
      </c>
      <c r="Q146" s="86" t="s">
        <v>878</v>
      </c>
      <c r="R146" s="86" t="s">
        <v>879</v>
      </c>
      <c r="S146" s="86" t="s">
        <v>880</v>
      </c>
      <c r="T146" s="86" t="s">
        <v>879</v>
      </c>
      <c r="U146" s="89" t="s">
        <v>380</v>
      </c>
      <c r="AG146" s="86" t="s">
        <v>159</v>
      </c>
      <c r="AH146" s="86" t="s">
        <v>160</v>
      </c>
      <c r="AY146" s="33">
        <v>53</v>
      </c>
    </row>
    <row r="147" spans="1:54" ht="12" customHeight="1" x14ac:dyDescent="0.15">
      <c r="A147" s="86" t="s">
        <v>931</v>
      </c>
      <c r="B147" s="127">
        <v>201437</v>
      </c>
      <c r="D147" s="206" t="s">
        <v>942</v>
      </c>
      <c r="M147" s="6" t="s">
        <v>196</v>
      </c>
      <c r="O147" s="86" t="s">
        <v>188</v>
      </c>
      <c r="Q147" s="86" t="s">
        <v>878</v>
      </c>
      <c r="R147" s="86" t="s">
        <v>879</v>
      </c>
      <c r="S147" s="86" t="s">
        <v>880</v>
      </c>
      <c r="T147" s="86" t="s">
        <v>879</v>
      </c>
      <c r="U147" s="89" t="s">
        <v>380</v>
      </c>
      <c r="AG147" s="86" t="s">
        <v>159</v>
      </c>
      <c r="AH147" s="86" t="s">
        <v>160</v>
      </c>
      <c r="AK147" s="100" t="s">
        <v>940</v>
      </c>
      <c r="AL147" s="90" t="s">
        <v>942</v>
      </c>
      <c r="AM147" s="90" t="s">
        <v>934</v>
      </c>
      <c r="AN147" s="90" t="s">
        <v>934</v>
      </c>
      <c r="AO147" s="90" t="s">
        <v>907</v>
      </c>
      <c r="AP147" s="90" t="s">
        <v>907</v>
      </c>
      <c r="AQ147" s="90" t="s">
        <v>37</v>
      </c>
      <c r="AR147" s="90" t="s">
        <v>38</v>
      </c>
      <c r="AS147" s="90" t="s">
        <v>957</v>
      </c>
      <c r="AT147" s="90" t="s">
        <v>958</v>
      </c>
      <c r="AU147" s="90" t="s">
        <v>959</v>
      </c>
      <c r="AV147" s="90" t="s">
        <v>957</v>
      </c>
      <c r="AY147" s="33">
        <v>53</v>
      </c>
    </row>
    <row r="148" spans="1:54" ht="12" customHeight="1" x14ac:dyDescent="0.15">
      <c r="A148" s="86" t="s">
        <v>963</v>
      </c>
      <c r="B148" s="127">
        <v>201438</v>
      </c>
      <c r="C148" s="90" t="s">
        <v>1013</v>
      </c>
      <c r="D148" s="204" t="s">
        <v>1576</v>
      </c>
      <c r="E148" s="89" t="s">
        <v>140</v>
      </c>
      <c r="F148" s="12" t="s">
        <v>140</v>
      </c>
      <c r="G148" s="12" t="s">
        <v>141</v>
      </c>
      <c r="H148" s="89" t="s">
        <v>141</v>
      </c>
      <c r="I148" s="12" t="s">
        <v>12</v>
      </c>
      <c r="J148" s="12" t="s">
        <v>0</v>
      </c>
      <c r="K148" s="12" t="s">
        <v>38</v>
      </c>
      <c r="L148" s="12"/>
      <c r="M148" s="12" t="s">
        <v>361</v>
      </c>
      <c r="N148" s="12" t="s">
        <v>964</v>
      </c>
      <c r="O148" s="89" t="s">
        <v>175</v>
      </c>
      <c r="P148" s="89"/>
      <c r="Q148" s="89" t="s">
        <v>145</v>
      </c>
      <c r="R148" s="89" t="s">
        <v>142</v>
      </c>
      <c r="S148" s="89" t="s">
        <v>143</v>
      </c>
      <c r="T148" s="89" t="s">
        <v>142</v>
      </c>
      <c r="U148" s="89" t="s">
        <v>380</v>
      </c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89" t="s">
        <v>176</v>
      </c>
      <c r="AH148" s="86" t="s">
        <v>160</v>
      </c>
      <c r="AI148" s="116"/>
      <c r="AJ148" s="89"/>
      <c r="AK148" s="86" t="s">
        <v>1575</v>
      </c>
      <c r="AL148" s="86"/>
      <c r="AM148" s="7"/>
      <c r="AN148" s="7"/>
      <c r="AO148" s="7"/>
      <c r="AP148" s="7"/>
      <c r="AQ148" s="7"/>
      <c r="AR148" s="7"/>
      <c r="AT148" s="7"/>
      <c r="AU148" s="7"/>
      <c r="AV148" s="7"/>
      <c r="AW148" s="89"/>
      <c r="AX148" s="89"/>
      <c r="AY148" s="32">
        <v>52</v>
      </c>
    </row>
    <row r="149" spans="1:54" ht="12" customHeight="1" x14ac:dyDescent="0.15">
      <c r="A149" s="86" t="s">
        <v>966</v>
      </c>
      <c r="B149" s="127">
        <v>201439</v>
      </c>
      <c r="C149" s="112" t="s">
        <v>1549</v>
      </c>
      <c r="D149" s="207" t="s">
        <v>967</v>
      </c>
      <c r="E149" s="89" t="s">
        <v>140</v>
      </c>
      <c r="F149" s="12" t="s">
        <v>140</v>
      </c>
      <c r="G149" s="12" t="s">
        <v>141</v>
      </c>
      <c r="H149" s="89" t="s">
        <v>141</v>
      </c>
      <c r="I149" s="12" t="s">
        <v>12</v>
      </c>
      <c r="J149" s="12" t="s">
        <v>0</v>
      </c>
      <c r="K149" s="12" t="s">
        <v>38</v>
      </c>
      <c r="L149" s="12"/>
      <c r="M149" s="12" t="s">
        <v>361</v>
      </c>
      <c r="N149" s="12" t="s">
        <v>146</v>
      </c>
      <c r="O149" s="89" t="s">
        <v>175</v>
      </c>
      <c r="P149" s="89"/>
      <c r="Q149" s="89" t="s">
        <v>145</v>
      </c>
      <c r="R149" s="89" t="s">
        <v>142</v>
      </c>
      <c r="S149" s="89" t="s">
        <v>143</v>
      </c>
      <c r="T149" s="89" t="s">
        <v>142</v>
      </c>
      <c r="U149" s="89" t="s">
        <v>380</v>
      </c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6" t="s">
        <v>159</v>
      </c>
      <c r="AH149" s="86" t="s">
        <v>160</v>
      </c>
      <c r="AI149" s="116"/>
      <c r="AJ149" s="89"/>
      <c r="AK149" s="112" t="s">
        <v>1361</v>
      </c>
      <c r="AL149" s="120" t="s">
        <v>968</v>
      </c>
      <c r="AM149" s="89" t="s">
        <v>144</v>
      </c>
      <c r="AN149" s="89" t="s">
        <v>144</v>
      </c>
      <c r="AO149" s="12" t="s">
        <v>141</v>
      </c>
      <c r="AP149" s="89" t="s">
        <v>141</v>
      </c>
      <c r="AQ149" s="12" t="s">
        <v>0</v>
      </c>
      <c r="AR149" s="89" t="s">
        <v>38</v>
      </c>
      <c r="AS149" s="12" t="s">
        <v>142</v>
      </c>
      <c r="AT149" s="89" t="s">
        <v>145</v>
      </c>
      <c r="AU149" s="12" t="s">
        <v>362</v>
      </c>
      <c r="AV149" s="12" t="s">
        <v>142</v>
      </c>
      <c r="AW149" s="89"/>
      <c r="AX149" s="89"/>
      <c r="AY149" s="32">
        <v>107.5</v>
      </c>
    </row>
    <row r="150" spans="1:54" ht="12" customHeight="1" x14ac:dyDescent="0.15">
      <c r="A150" s="86" t="s">
        <v>969</v>
      </c>
      <c r="B150" s="127">
        <v>201440</v>
      </c>
      <c r="C150" s="127" t="s">
        <v>1550</v>
      </c>
      <c r="D150" s="206" t="s">
        <v>970</v>
      </c>
      <c r="E150" s="129" t="s">
        <v>971</v>
      </c>
      <c r="F150" s="129" t="s">
        <v>971</v>
      </c>
      <c r="G150" s="130" t="s">
        <v>907</v>
      </c>
      <c r="H150" s="131" t="s">
        <v>907</v>
      </c>
      <c r="I150" s="130" t="s">
        <v>187</v>
      </c>
      <c r="J150" s="132" t="s">
        <v>0</v>
      </c>
      <c r="K150" s="133" t="s">
        <v>38</v>
      </c>
      <c r="L150" s="130"/>
      <c r="M150" s="136" t="s">
        <v>361</v>
      </c>
      <c r="N150" s="136" t="s">
        <v>146</v>
      </c>
      <c r="O150" s="134" t="s">
        <v>175</v>
      </c>
      <c r="P150" s="131"/>
      <c r="Q150" s="134" t="s">
        <v>145</v>
      </c>
      <c r="R150" s="134" t="s">
        <v>142</v>
      </c>
      <c r="S150" s="134" t="s">
        <v>143</v>
      </c>
      <c r="T150" s="134" t="s">
        <v>142</v>
      </c>
      <c r="U150" s="134" t="s">
        <v>380</v>
      </c>
      <c r="V150" s="131"/>
      <c r="W150" s="131"/>
      <c r="X150" s="130"/>
      <c r="Y150" s="131"/>
      <c r="Z150" s="130"/>
      <c r="AA150" s="131"/>
      <c r="AB150" s="130"/>
      <c r="AC150" s="131"/>
      <c r="AD150" s="130"/>
      <c r="AE150" s="130"/>
      <c r="AF150" s="130"/>
      <c r="AG150" s="89" t="s">
        <v>159</v>
      </c>
      <c r="AH150" s="86" t="s">
        <v>160</v>
      </c>
      <c r="AI150" s="131"/>
      <c r="AJ150" s="131"/>
      <c r="AK150" s="127" t="s">
        <v>1362</v>
      </c>
      <c r="AL150" s="129" t="s">
        <v>987</v>
      </c>
      <c r="AM150" s="131" t="s">
        <v>1118</v>
      </c>
      <c r="AN150" s="131" t="s">
        <v>908</v>
      </c>
      <c r="AO150" s="131" t="s">
        <v>982</v>
      </c>
      <c r="AP150" s="131" t="s">
        <v>982</v>
      </c>
      <c r="AQ150" s="131" t="s">
        <v>965</v>
      </c>
      <c r="AR150" s="131" t="s">
        <v>983</v>
      </c>
      <c r="AS150" s="131"/>
      <c r="AT150" s="131"/>
      <c r="AU150" s="131"/>
      <c r="AV150" s="131"/>
      <c r="AY150" s="33">
        <v>101.1</v>
      </c>
    </row>
    <row r="151" spans="1:54" ht="12" customHeight="1" x14ac:dyDescent="0.15">
      <c r="A151" s="86" t="s">
        <v>988</v>
      </c>
      <c r="B151" s="127">
        <v>201441</v>
      </c>
      <c r="C151" s="137" t="s">
        <v>990</v>
      </c>
      <c r="D151" s="206" t="s">
        <v>989</v>
      </c>
      <c r="E151" s="86" t="s">
        <v>906</v>
      </c>
      <c r="F151" s="6" t="s">
        <v>906</v>
      </c>
      <c r="G151" s="6" t="s">
        <v>907</v>
      </c>
      <c r="H151" s="86" t="s">
        <v>907</v>
      </c>
      <c r="I151" s="6" t="s">
        <v>187</v>
      </c>
      <c r="J151" s="6" t="s">
        <v>37</v>
      </c>
      <c r="K151" s="6" t="s">
        <v>38</v>
      </c>
      <c r="M151" s="6" t="s">
        <v>196</v>
      </c>
      <c r="O151" s="86" t="s">
        <v>188</v>
      </c>
      <c r="Q151" s="86" t="s">
        <v>878</v>
      </c>
      <c r="R151" s="86" t="s">
        <v>879</v>
      </c>
      <c r="S151" s="86" t="s">
        <v>880</v>
      </c>
      <c r="T151" s="86" t="s">
        <v>879</v>
      </c>
      <c r="U151" s="89" t="s">
        <v>380</v>
      </c>
      <c r="AG151" s="86" t="s">
        <v>159</v>
      </c>
      <c r="AH151" s="86" t="s">
        <v>160</v>
      </c>
      <c r="AY151" s="143">
        <v>53</v>
      </c>
    </row>
    <row r="152" spans="1:54" ht="12" customHeight="1" x14ac:dyDescent="0.15">
      <c r="A152" s="86" t="s">
        <v>1014</v>
      </c>
      <c r="B152" s="127">
        <v>201442</v>
      </c>
      <c r="C152" s="127" t="s">
        <v>1416</v>
      </c>
      <c r="D152" s="204" t="s">
        <v>1016</v>
      </c>
      <c r="E152" s="129" t="s">
        <v>1166</v>
      </c>
      <c r="F152" s="129" t="s">
        <v>1166</v>
      </c>
      <c r="G152" s="6" t="s">
        <v>907</v>
      </c>
      <c r="H152" s="86" t="s">
        <v>907</v>
      </c>
      <c r="I152" s="6" t="s">
        <v>187</v>
      </c>
      <c r="J152" s="6" t="s">
        <v>1080</v>
      </c>
      <c r="K152" s="6" t="s">
        <v>1081</v>
      </c>
      <c r="M152" s="12" t="s">
        <v>361</v>
      </c>
      <c r="N152" s="12" t="s">
        <v>146</v>
      </c>
      <c r="O152" s="89" t="s">
        <v>175</v>
      </c>
      <c r="Q152" s="131" t="s">
        <v>878</v>
      </c>
      <c r="R152" s="131" t="s">
        <v>879</v>
      </c>
      <c r="S152" s="131" t="s">
        <v>880</v>
      </c>
      <c r="T152" s="131" t="s">
        <v>879</v>
      </c>
      <c r="U152" s="134" t="s">
        <v>380</v>
      </c>
      <c r="AG152" s="89" t="s">
        <v>159</v>
      </c>
      <c r="AH152" s="86" t="s">
        <v>160</v>
      </c>
      <c r="AK152" s="86" t="s">
        <v>1384</v>
      </c>
      <c r="AL152" s="86" t="s">
        <v>1017</v>
      </c>
      <c r="AM152" s="86" t="s">
        <v>908</v>
      </c>
      <c r="AN152" s="86" t="s">
        <v>908</v>
      </c>
      <c r="AO152" s="86" t="s">
        <v>907</v>
      </c>
      <c r="AP152" s="86" t="s">
        <v>907</v>
      </c>
      <c r="AQ152" s="86" t="s">
        <v>37</v>
      </c>
      <c r="AR152" s="131" t="s">
        <v>38</v>
      </c>
      <c r="AS152" s="131" t="s">
        <v>977</v>
      </c>
      <c r="AT152" s="131" t="s">
        <v>978</v>
      </c>
      <c r="AU152" s="131" t="s">
        <v>979</v>
      </c>
      <c r="AV152" s="131" t="s">
        <v>977</v>
      </c>
      <c r="AY152" s="33" t="s">
        <v>1152</v>
      </c>
      <c r="AZ152" s="94">
        <v>551.5</v>
      </c>
      <c r="BA152" s="94">
        <v>501.5</v>
      </c>
      <c r="BB152" s="94">
        <v>476.5</v>
      </c>
    </row>
    <row r="153" spans="1:54" ht="12" customHeight="1" x14ac:dyDescent="0.15">
      <c r="A153" s="86" t="s">
        <v>1015</v>
      </c>
      <c r="B153" s="127">
        <v>201443</v>
      </c>
      <c r="C153" s="127" t="s">
        <v>1567</v>
      </c>
      <c r="D153" s="204" t="s">
        <v>1018</v>
      </c>
      <c r="E153" s="131" t="s">
        <v>971</v>
      </c>
      <c r="F153" s="131" t="s">
        <v>971</v>
      </c>
      <c r="G153" s="130" t="s">
        <v>907</v>
      </c>
      <c r="H153" s="131" t="s">
        <v>907</v>
      </c>
      <c r="I153" s="130" t="s">
        <v>187</v>
      </c>
      <c r="J153" s="130" t="s">
        <v>0</v>
      </c>
      <c r="K153" s="136" t="s">
        <v>38</v>
      </c>
      <c r="L153" s="130"/>
      <c r="M153" s="136" t="s">
        <v>361</v>
      </c>
      <c r="N153" s="136" t="s">
        <v>146</v>
      </c>
      <c r="O153" s="134" t="s">
        <v>175</v>
      </c>
      <c r="P153" s="131"/>
      <c r="Q153" s="134" t="s">
        <v>145</v>
      </c>
      <c r="R153" s="134" t="s">
        <v>142</v>
      </c>
      <c r="S153" s="134" t="s">
        <v>143</v>
      </c>
      <c r="T153" s="134" t="s">
        <v>142</v>
      </c>
      <c r="U153" s="134" t="s">
        <v>380</v>
      </c>
      <c r="AG153" s="86" t="s">
        <v>159</v>
      </c>
      <c r="AH153" s="86" t="s">
        <v>160</v>
      </c>
      <c r="AK153" s="86" t="s">
        <v>1419</v>
      </c>
      <c r="AL153" s="86" t="s">
        <v>1020</v>
      </c>
      <c r="AM153" s="86" t="s">
        <v>1118</v>
      </c>
      <c r="AN153" s="86" t="s">
        <v>908</v>
      </c>
      <c r="AO153" s="86" t="s">
        <v>907</v>
      </c>
      <c r="AP153" s="86" t="s">
        <v>907</v>
      </c>
      <c r="AQ153" s="86" t="s">
        <v>1019</v>
      </c>
      <c r="AR153" s="86" t="s">
        <v>38</v>
      </c>
      <c r="AS153" s="86" t="s">
        <v>977</v>
      </c>
      <c r="AT153" s="86" t="s">
        <v>978</v>
      </c>
      <c r="AU153" s="131" t="s">
        <v>979</v>
      </c>
      <c r="AV153" s="131" t="s">
        <v>977</v>
      </c>
      <c r="AY153" s="33">
        <v>127.1</v>
      </c>
    </row>
    <row r="154" spans="1:54" ht="12" customHeight="1" x14ac:dyDescent="0.15">
      <c r="A154" s="86" t="s">
        <v>1021</v>
      </c>
      <c r="B154" s="127">
        <v>201444</v>
      </c>
      <c r="C154" s="127" t="s">
        <v>1568</v>
      </c>
      <c r="D154" s="204" t="s">
        <v>1022</v>
      </c>
      <c r="E154" s="131" t="s">
        <v>140</v>
      </c>
      <c r="F154" s="130" t="s">
        <v>140</v>
      </c>
      <c r="G154" s="130" t="s">
        <v>141</v>
      </c>
      <c r="H154" s="131" t="s">
        <v>141</v>
      </c>
      <c r="I154" s="130" t="s">
        <v>187</v>
      </c>
      <c r="J154" s="130" t="s">
        <v>37</v>
      </c>
      <c r="K154" s="130" t="s">
        <v>38</v>
      </c>
      <c r="L154" s="130"/>
      <c r="M154" s="130" t="s">
        <v>361</v>
      </c>
      <c r="N154" s="130" t="s">
        <v>877</v>
      </c>
      <c r="O154" s="131" t="s">
        <v>188</v>
      </c>
      <c r="P154" s="131"/>
      <c r="Q154" s="131" t="s">
        <v>878</v>
      </c>
      <c r="R154" s="131" t="s">
        <v>879</v>
      </c>
      <c r="S154" s="131" t="s">
        <v>880</v>
      </c>
      <c r="T154" s="131" t="s">
        <v>879</v>
      </c>
      <c r="U154" s="131" t="s">
        <v>881</v>
      </c>
      <c r="V154" s="131"/>
      <c r="W154" s="131"/>
      <c r="X154" s="130"/>
      <c r="Y154" s="131"/>
      <c r="Z154" s="130"/>
      <c r="AA154" s="131"/>
      <c r="AB154" s="130"/>
      <c r="AC154" s="131"/>
      <c r="AD154" s="130"/>
      <c r="AE154" s="130"/>
      <c r="AF154" s="130"/>
      <c r="AG154" s="131" t="s">
        <v>159</v>
      </c>
      <c r="AH154" s="131" t="s">
        <v>160</v>
      </c>
      <c r="AI154" s="131"/>
      <c r="AJ154" s="131"/>
      <c r="AK154" s="131" t="s">
        <v>1363</v>
      </c>
      <c r="AL154" s="86" t="s">
        <v>1022</v>
      </c>
      <c r="AM154" s="131" t="s">
        <v>1120</v>
      </c>
      <c r="AN154" s="131" t="s">
        <v>144</v>
      </c>
      <c r="AO154" s="131" t="s">
        <v>141</v>
      </c>
      <c r="AP154" s="131" t="s">
        <v>141</v>
      </c>
      <c r="AQ154" s="131" t="s">
        <v>0</v>
      </c>
      <c r="AR154" s="86" t="s">
        <v>38</v>
      </c>
      <c r="AS154" s="86" t="s">
        <v>977</v>
      </c>
      <c r="AT154" s="131" t="s">
        <v>878</v>
      </c>
      <c r="AU154" s="131" t="s">
        <v>882</v>
      </c>
      <c r="AV154" s="131" t="s">
        <v>879</v>
      </c>
      <c r="AY154" s="33">
        <v>107.5</v>
      </c>
    </row>
    <row r="155" spans="1:54" ht="12" customHeight="1" x14ac:dyDescent="0.15">
      <c r="A155" s="86" t="s">
        <v>1023</v>
      </c>
      <c r="B155" s="127">
        <v>201445</v>
      </c>
      <c r="C155" s="86" t="s">
        <v>1551</v>
      </c>
      <c r="D155" s="204" t="s">
        <v>1129</v>
      </c>
      <c r="E155" s="86" t="s">
        <v>1079</v>
      </c>
      <c r="F155" s="86" t="s">
        <v>1079</v>
      </c>
      <c r="G155" s="130" t="s">
        <v>141</v>
      </c>
      <c r="H155" s="131" t="s">
        <v>141</v>
      </c>
      <c r="I155" s="6" t="s">
        <v>187</v>
      </c>
      <c r="J155" s="6" t="s">
        <v>1080</v>
      </c>
      <c r="K155" s="6" t="s">
        <v>1081</v>
      </c>
      <c r="M155" s="6" t="s">
        <v>196</v>
      </c>
      <c r="O155" s="86" t="s">
        <v>188</v>
      </c>
      <c r="Q155" s="86" t="s">
        <v>878</v>
      </c>
      <c r="R155" s="86" t="s">
        <v>879</v>
      </c>
      <c r="S155" s="86" t="s">
        <v>880</v>
      </c>
      <c r="T155" s="86" t="s">
        <v>879</v>
      </c>
      <c r="U155" s="89" t="s">
        <v>380</v>
      </c>
      <c r="AK155" s="86" t="s">
        <v>1365</v>
      </c>
      <c r="AL155" s="86" t="s">
        <v>1175</v>
      </c>
      <c r="AM155" s="86" t="s">
        <v>1078</v>
      </c>
      <c r="AN155" s="86" t="s">
        <v>1078</v>
      </c>
      <c r="AO155" s="86" t="s">
        <v>141</v>
      </c>
      <c r="AP155" s="86" t="s">
        <v>141</v>
      </c>
      <c r="AQ155" s="90">
        <v>12</v>
      </c>
      <c r="AR155" s="90" t="s">
        <v>1081</v>
      </c>
      <c r="AS155" s="90" t="s">
        <v>196</v>
      </c>
      <c r="AT155" s="131" t="s">
        <v>878</v>
      </c>
      <c r="AU155" s="131" t="s">
        <v>882</v>
      </c>
      <c r="AV155" s="131" t="s">
        <v>879</v>
      </c>
      <c r="AY155" s="33" t="s">
        <v>1152</v>
      </c>
      <c r="AZ155" s="94">
        <v>524</v>
      </c>
      <c r="BA155" s="94">
        <v>424</v>
      </c>
      <c r="BB155" s="94">
        <v>374</v>
      </c>
    </row>
    <row r="156" spans="1:54" ht="12" customHeight="1" x14ac:dyDescent="0.15">
      <c r="A156" s="86" t="s">
        <v>1024</v>
      </c>
      <c r="B156" s="127">
        <v>201446</v>
      </c>
      <c r="C156" s="86" t="s">
        <v>1552</v>
      </c>
      <c r="D156" s="204" t="s">
        <v>1130</v>
      </c>
      <c r="E156" s="86" t="s">
        <v>1082</v>
      </c>
      <c r="F156" s="86" t="s">
        <v>1082</v>
      </c>
      <c r="G156" s="130" t="s">
        <v>141</v>
      </c>
      <c r="H156" s="131" t="s">
        <v>141</v>
      </c>
      <c r="I156" s="6" t="s">
        <v>187</v>
      </c>
      <c r="J156" s="6" t="s">
        <v>1080</v>
      </c>
      <c r="K156" s="6" t="s">
        <v>1081</v>
      </c>
      <c r="M156" s="6" t="s">
        <v>196</v>
      </c>
      <c r="O156" s="89" t="s">
        <v>175</v>
      </c>
      <c r="P156" s="89"/>
      <c r="Q156" s="89" t="s">
        <v>145</v>
      </c>
      <c r="R156" s="89" t="s">
        <v>142</v>
      </c>
      <c r="S156" s="89" t="s">
        <v>143</v>
      </c>
      <c r="T156" s="89" t="s">
        <v>142</v>
      </c>
      <c r="U156" s="89" t="s">
        <v>380</v>
      </c>
      <c r="AK156" s="86" t="s">
        <v>1366</v>
      </c>
      <c r="AL156" s="86" t="s">
        <v>1176</v>
      </c>
      <c r="AM156" s="86" t="s">
        <v>1078</v>
      </c>
      <c r="AN156" s="86" t="s">
        <v>1078</v>
      </c>
      <c r="AO156" s="86" t="s">
        <v>141</v>
      </c>
      <c r="AP156" s="86" t="s">
        <v>141</v>
      </c>
      <c r="AQ156" s="90">
        <v>12</v>
      </c>
      <c r="AR156" s="90" t="s">
        <v>1081</v>
      </c>
      <c r="AS156" s="86" t="s">
        <v>196</v>
      </c>
      <c r="AT156" s="86" t="s">
        <v>878</v>
      </c>
      <c r="AU156" s="86" t="s">
        <v>882</v>
      </c>
      <c r="AV156" s="86" t="s">
        <v>879</v>
      </c>
      <c r="AY156" s="33" t="s">
        <v>1151</v>
      </c>
      <c r="AZ156" s="94">
        <v>524</v>
      </c>
      <c r="BA156" s="94">
        <v>424</v>
      </c>
      <c r="BB156" s="94">
        <v>374</v>
      </c>
    </row>
    <row r="157" spans="1:54" ht="12" customHeight="1" x14ac:dyDescent="0.15">
      <c r="A157" s="86" t="s">
        <v>1025</v>
      </c>
      <c r="B157" s="127">
        <v>201447</v>
      </c>
      <c r="C157" s="127" t="s">
        <v>1553</v>
      </c>
      <c r="D157" s="204" t="s">
        <v>1132</v>
      </c>
      <c r="E157" s="86" t="s">
        <v>1083</v>
      </c>
      <c r="F157" s="86" t="s">
        <v>1083</v>
      </c>
      <c r="G157" s="130" t="s">
        <v>141</v>
      </c>
      <c r="H157" s="131" t="s">
        <v>141</v>
      </c>
      <c r="I157" s="130" t="s">
        <v>187</v>
      </c>
      <c r="J157" s="6" t="s">
        <v>48</v>
      </c>
      <c r="K157" s="6" t="s">
        <v>1081</v>
      </c>
      <c r="M157" s="6" t="s">
        <v>196</v>
      </c>
      <c r="O157" s="89" t="s">
        <v>175</v>
      </c>
      <c r="P157" s="89"/>
      <c r="Q157" s="89" t="s">
        <v>145</v>
      </c>
      <c r="R157" s="89" t="s">
        <v>142</v>
      </c>
      <c r="S157" s="89" t="s">
        <v>143</v>
      </c>
      <c r="T157" s="89" t="s">
        <v>142</v>
      </c>
      <c r="U157" s="89" t="s">
        <v>380</v>
      </c>
      <c r="AK157" s="86" t="s">
        <v>1367</v>
      </c>
      <c r="AL157" s="86" t="s">
        <v>1177</v>
      </c>
      <c r="AM157" s="86" t="s">
        <v>1126</v>
      </c>
      <c r="AN157" s="86" t="s">
        <v>1126</v>
      </c>
      <c r="AO157" s="86" t="s">
        <v>141</v>
      </c>
      <c r="AP157" s="86" t="s">
        <v>141</v>
      </c>
      <c r="AQ157" s="90">
        <v>12</v>
      </c>
      <c r="AR157" s="90" t="s">
        <v>1081</v>
      </c>
      <c r="AS157" s="86" t="s">
        <v>196</v>
      </c>
      <c r="AT157" s="86" t="s">
        <v>878</v>
      </c>
      <c r="AU157" s="86" t="s">
        <v>882</v>
      </c>
      <c r="AV157" s="86" t="s">
        <v>879</v>
      </c>
      <c r="AY157" s="33" t="s">
        <v>1151</v>
      </c>
      <c r="AZ157" s="94">
        <v>524</v>
      </c>
      <c r="BA157" s="94">
        <v>424</v>
      </c>
      <c r="BB157" s="94">
        <v>374</v>
      </c>
    </row>
    <row r="158" spans="1:54" ht="12" customHeight="1" x14ac:dyDescent="0.15">
      <c r="A158" s="86" t="s">
        <v>1026</v>
      </c>
      <c r="B158" s="127">
        <v>201448</v>
      </c>
      <c r="C158" s="127" t="s">
        <v>1554</v>
      </c>
      <c r="D158" s="204" t="s">
        <v>1133</v>
      </c>
      <c r="E158" s="86" t="s">
        <v>1082</v>
      </c>
      <c r="F158" s="86" t="s">
        <v>1082</v>
      </c>
      <c r="G158" s="130" t="s">
        <v>141</v>
      </c>
      <c r="H158" s="131" t="s">
        <v>141</v>
      </c>
      <c r="I158" s="130" t="s">
        <v>187</v>
      </c>
      <c r="J158" s="6" t="s">
        <v>48</v>
      </c>
      <c r="K158" s="6" t="s">
        <v>1081</v>
      </c>
      <c r="M158" s="6" t="s">
        <v>196</v>
      </c>
      <c r="O158" s="134" t="s">
        <v>175</v>
      </c>
      <c r="P158" s="131"/>
      <c r="Q158" s="134" t="s">
        <v>145</v>
      </c>
      <c r="R158" s="134" t="s">
        <v>142</v>
      </c>
      <c r="S158" s="134" t="s">
        <v>143</v>
      </c>
      <c r="T158" s="134" t="s">
        <v>142</v>
      </c>
      <c r="U158" s="134" t="s">
        <v>380</v>
      </c>
      <c r="AK158" s="86" t="s">
        <v>1368</v>
      </c>
      <c r="AL158" s="86" t="s">
        <v>1178</v>
      </c>
      <c r="AM158" s="86" t="s">
        <v>1078</v>
      </c>
      <c r="AN158" s="86" t="s">
        <v>1078</v>
      </c>
      <c r="AO158" s="86" t="s">
        <v>141</v>
      </c>
      <c r="AP158" s="86" t="s">
        <v>141</v>
      </c>
      <c r="AQ158" s="90">
        <v>12</v>
      </c>
      <c r="AR158" s="90" t="s">
        <v>1081</v>
      </c>
      <c r="AS158" s="86" t="s">
        <v>196</v>
      </c>
      <c r="AT158" s="86" t="s">
        <v>878</v>
      </c>
      <c r="AU158" s="86" t="s">
        <v>882</v>
      </c>
      <c r="AV158" s="86" t="s">
        <v>879</v>
      </c>
      <c r="AY158" s="33" t="s">
        <v>1151</v>
      </c>
      <c r="AZ158" s="94">
        <v>524</v>
      </c>
      <c r="BA158" s="94">
        <v>424</v>
      </c>
      <c r="BB158" s="94">
        <v>374</v>
      </c>
    </row>
    <row r="159" spans="1:54" ht="12" customHeight="1" x14ac:dyDescent="0.15">
      <c r="A159" s="86" t="s">
        <v>1027</v>
      </c>
      <c r="B159" s="127">
        <v>201449</v>
      </c>
      <c r="C159" s="127" t="s">
        <v>1555</v>
      </c>
      <c r="D159" s="204" t="s">
        <v>1134</v>
      </c>
      <c r="E159" s="86" t="s">
        <v>1083</v>
      </c>
      <c r="F159" s="86" t="s">
        <v>1083</v>
      </c>
      <c r="G159" s="130" t="s">
        <v>141</v>
      </c>
      <c r="H159" s="131" t="s">
        <v>141</v>
      </c>
      <c r="I159" s="6" t="s">
        <v>187</v>
      </c>
      <c r="J159" s="6" t="s">
        <v>48</v>
      </c>
      <c r="K159" s="6" t="s">
        <v>1084</v>
      </c>
      <c r="L159" s="139"/>
      <c r="M159" s="6" t="s">
        <v>196</v>
      </c>
      <c r="O159" s="86" t="s">
        <v>188</v>
      </c>
      <c r="Q159" s="86" t="s">
        <v>878</v>
      </c>
      <c r="R159" s="86" t="s">
        <v>879</v>
      </c>
      <c r="S159" s="86" t="s">
        <v>880</v>
      </c>
      <c r="T159" s="86" t="s">
        <v>879</v>
      </c>
      <c r="U159" s="89" t="s">
        <v>380</v>
      </c>
      <c r="AK159" s="86" t="s">
        <v>1378</v>
      </c>
      <c r="AL159" s="86" t="s">
        <v>1179</v>
      </c>
      <c r="AM159" s="86" t="s">
        <v>1126</v>
      </c>
      <c r="AN159" s="86" t="s">
        <v>1126</v>
      </c>
      <c r="AO159" s="86" t="s">
        <v>141</v>
      </c>
      <c r="AP159" s="86" t="s">
        <v>141</v>
      </c>
      <c r="AQ159" s="90">
        <v>8</v>
      </c>
      <c r="AR159" s="90" t="s">
        <v>1081</v>
      </c>
      <c r="AS159" s="86" t="s">
        <v>196</v>
      </c>
      <c r="AT159" s="86" t="s">
        <v>878</v>
      </c>
      <c r="AU159" s="86" t="s">
        <v>882</v>
      </c>
      <c r="AV159" s="86" t="s">
        <v>879</v>
      </c>
      <c r="AY159" s="33" t="s">
        <v>1151</v>
      </c>
      <c r="AZ159" s="94">
        <v>470</v>
      </c>
      <c r="BA159" s="94">
        <v>370</v>
      </c>
      <c r="BB159" s="94">
        <v>320</v>
      </c>
    </row>
    <row r="160" spans="1:54" ht="12" customHeight="1" x14ac:dyDescent="0.15">
      <c r="A160" s="86" t="s">
        <v>1028</v>
      </c>
      <c r="B160" s="127">
        <v>201450</v>
      </c>
      <c r="C160" s="127" t="s">
        <v>1556</v>
      </c>
      <c r="D160" s="204" t="s">
        <v>1135</v>
      </c>
      <c r="E160" s="86" t="s">
        <v>1079</v>
      </c>
      <c r="F160" s="86" t="s">
        <v>1079</v>
      </c>
      <c r="G160" s="130" t="s">
        <v>141</v>
      </c>
      <c r="H160" s="131" t="s">
        <v>141</v>
      </c>
      <c r="I160" s="6" t="s">
        <v>187</v>
      </c>
      <c r="J160" s="6" t="s">
        <v>1085</v>
      </c>
      <c r="K160" s="6" t="s">
        <v>1081</v>
      </c>
      <c r="M160" s="6" t="s">
        <v>196</v>
      </c>
      <c r="O160" s="89" t="s">
        <v>175</v>
      </c>
      <c r="Q160" s="131" t="s">
        <v>878</v>
      </c>
      <c r="R160" s="131" t="s">
        <v>879</v>
      </c>
      <c r="S160" s="131" t="s">
        <v>880</v>
      </c>
      <c r="T160" s="131" t="s">
        <v>879</v>
      </c>
      <c r="U160" s="134" t="s">
        <v>380</v>
      </c>
      <c r="AK160" s="86" t="s">
        <v>1381</v>
      </c>
      <c r="AL160" s="86" t="s">
        <v>1180</v>
      </c>
      <c r="AM160" s="86" t="s">
        <v>1078</v>
      </c>
      <c r="AN160" s="86" t="s">
        <v>1078</v>
      </c>
      <c r="AO160" s="86" t="s">
        <v>141</v>
      </c>
      <c r="AP160" s="86" t="s">
        <v>141</v>
      </c>
      <c r="AQ160" s="90">
        <v>16</v>
      </c>
      <c r="AR160" s="90" t="s">
        <v>1081</v>
      </c>
      <c r="AS160" s="86" t="s">
        <v>196</v>
      </c>
      <c r="AT160" s="86" t="s">
        <v>878</v>
      </c>
      <c r="AU160" s="86" t="s">
        <v>882</v>
      </c>
      <c r="AV160" s="86" t="s">
        <v>879</v>
      </c>
      <c r="AY160" s="33" t="s">
        <v>1151</v>
      </c>
      <c r="AZ160" s="94">
        <v>524</v>
      </c>
      <c r="BA160" s="94">
        <v>424</v>
      </c>
      <c r="BB160" s="94">
        <v>374</v>
      </c>
    </row>
    <row r="161" spans="1:54" ht="12" customHeight="1" x14ac:dyDescent="0.15">
      <c r="A161" s="86" t="s">
        <v>1029</v>
      </c>
      <c r="B161" s="127">
        <v>201451</v>
      </c>
      <c r="C161" s="127" t="s">
        <v>1557</v>
      </c>
      <c r="D161" s="204" t="s">
        <v>1136</v>
      </c>
      <c r="E161" s="86" t="s">
        <v>1083</v>
      </c>
      <c r="F161" s="86" t="s">
        <v>1083</v>
      </c>
      <c r="G161" s="130" t="s">
        <v>141</v>
      </c>
      <c r="H161" s="131" t="s">
        <v>141</v>
      </c>
      <c r="I161" s="130" t="s">
        <v>187</v>
      </c>
      <c r="J161" s="6" t="s">
        <v>48</v>
      </c>
      <c r="K161" s="6" t="s">
        <v>1084</v>
      </c>
      <c r="M161" s="6" t="s">
        <v>196</v>
      </c>
      <c r="O161" s="134" t="s">
        <v>175</v>
      </c>
      <c r="P161" s="131"/>
      <c r="Q161" s="134" t="s">
        <v>145</v>
      </c>
      <c r="R161" s="134" t="s">
        <v>142</v>
      </c>
      <c r="S161" s="134" t="s">
        <v>143</v>
      </c>
      <c r="T161" s="134" t="s">
        <v>142</v>
      </c>
      <c r="U161" s="134" t="s">
        <v>380</v>
      </c>
      <c r="AK161" s="86" t="s">
        <v>1380</v>
      </c>
      <c r="AL161" s="86" t="s">
        <v>1181</v>
      </c>
      <c r="AM161" s="86" t="s">
        <v>1126</v>
      </c>
      <c r="AN161" s="86" t="s">
        <v>1126</v>
      </c>
      <c r="AO161" s="86" t="s">
        <v>141</v>
      </c>
      <c r="AP161" s="86" t="s">
        <v>141</v>
      </c>
      <c r="AQ161" s="90">
        <v>8</v>
      </c>
      <c r="AR161" s="90" t="s">
        <v>1081</v>
      </c>
      <c r="AS161" s="86" t="s">
        <v>196</v>
      </c>
      <c r="AT161" s="86" t="s">
        <v>878</v>
      </c>
      <c r="AU161" s="86" t="s">
        <v>882</v>
      </c>
      <c r="AV161" s="86" t="s">
        <v>879</v>
      </c>
      <c r="AY161" s="33" t="s">
        <v>1151</v>
      </c>
      <c r="AZ161" s="94">
        <v>470</v>
      </c>
      <c r="BA161" s="94">
        <v>370</v>
      </c>
      <c r="BB161" s="94">
        <v>320</v>
      </c>
    </row>
    <row r="162" spans="1:54" ht="12" customHeight="1" x14ac:dyDescent="0.15">
      <c r="A162" s="86" t="s">
        <v>1030</v>
      </c>
      <c r="B162" s="127">
        <v>201452</v>
      </c>
      <c r="C162" s="127" t="s">
        <v>1558</v>
      </c>
      <c r="D162" s="204" t="s">
        <v>1138</v>
      </c>
      <c r="E162" s="86" t="s">
        <v>1082</v>
      </c>
      <c r="F162" s="86" t="s">
        <v>1082</v>
      </c>
      <c r="G162" s="130" t="s">
        <v>141</v>
      </c>
      <c r="H162" s="131" t="s">
        <v>141</v>
      </c>
      <c r="I162" s="130" t="s">
        <v>187</v>
      </c>
      <c r="J162" s="6" t="s">
        <v>48</v>
      </c>
      <c r="K162" s="6" t="s">
        <v>1081</v>
      </c>
      <c r="M162" s="6" t="s">
        <v>196</v>
      </c>
      <c r="O162" s="131" t="s">
        <v>188</v>
      </c>
      <c r="P162" s="131"/>
      <c r="Q162" s="131" t="s">
        <v>878</v>
      </c>
      <c r="R162" s="131" t="s">
        <v>879</v>
      </c>
      <c r="S162" s="131" t="s">
        <v>880</v>
      </c>
      <c r="T162" s="131" t="s">
        <v>879</v>
      </c>
      <c r="U162" s="131" t="s">
        <v>881</v>
      </c>
      <c r="AK162" s="86" t="s">
        <v>1377</v>
      </c>
      <c r="AL162" s="86" t="s">
        <v>1182</v>
      </c>
      <c r="AM162" s="86" t="s">
        <v>1078</v>
      </c>
      <c r="AN162" s="86" t="s">
        <v>1078</v>
      </c>
      <c r="AO162" s="86" t="s">
        <v>141</v>
      </c>
      <c r="AP162" s="86" t="s">
        <v>141</v>
      </c>
      <c r="AQ162" s="90">
        <v>12</v>
      </c>
      <c r="AR162" s="90" t="s">
        <v>1081</v>
      </c>
      <c r="AS162" s="86" t="s">
        <v>196</v>
      </c>
      <c r="AT162" s="86" t="s">
        <v>878</v>
      </c>
      <c r="AU162" s="86" t="s">
        <v>882</v>
      </c>
      <c r="AV162" s="86" t="s">
        <v>879</v>
      </c>
      <c r="AY162" s="33" t="s">
        <v>1151</v>
      </c>
      <c r="AZ162" s="94">
        <v>524</v>
      </c>
      <c r="BA162" s="94">
        <v>424</v>
      </c>
      <c r="BB162" s="94">
        <v>374</v>
      </c>
    </row>
    <row r="163" spans="1:54" ht="12" customHeight="1" x14ac:dyDescent="0.15">
      <c r="A163" s="86" t="s">
        <v>1031</v>
      </c>
      <c r="B163" s="127">
        <v>201453</v>
      </c>
      <c r="C163" s="127" t="s">
        <v>1559</v>
      </c>
      <c r="D163" s="204" t="s">
        <v>1140</v>
      </c>
      <c r="E163" s="86" t="s">
        <v>1083</v>
      </c>
      <c r="F163" s="86" t="s">
        <v>1083</v>
      </c>
      <c r="G163" s="130" t="s">
        <v>141</v>
      </c>
      <c r="H163" s="131" t="s">
        <v>141</v>
      </c>
      <c r="I163" s="6" t="s">
        <v>187</v>
      </c>
      <c r="J163" s="6" t="s">
        <v>48</v>
      </c>
      <c r="K163" s="6" t="s">
        <v>1081</v>
      </c>
      <c r="M163" s="6" t="s">
        <v>196</v>
      </c>
      <c r="O163" s="86" t="s">
        <v>188</v>
      </c>
      <c r="Q163" s="86" t="s">
        <v>878</v>
      </c>
      <c r="R163" s="86" t="s">
        <v>879</v>
      </c>
      <c r="S163" s="86" t="s">
        <v>880</v>
      </c>
      <c r="T163" s="86" t="s">
        <v>879</v>
      </c>
      <c r="U163" s="89" t="s">
        <v>380</v>
      </c>
      <c r="AK163" s="86" t="s">
        <v>1379</v>
      </c>
      <c r="AL163" s="86" t="s">
        <v>1183</v>
      </c>
      <c r="AM163" s="86" t="s">
        <v>1126</v>
      </c>
      <c r="AN163" s="86" t="s">
        <v>1126</v>
      </c>
      <c r="AO163" s="86" t="s">
        <v>141</v>
      </c>
      <c r="AP163" s="86" t="s">
        <v>141</v>
      </c>
      <c r="AQ163" s="90">
        <v>8</v>
      </c>
      <c r="AR163" s="90" t="s">
        <v>1081</v>
      </c>
      <c r="AS163" s="86" t="s">
        <v>196</v>
      </c>
      <c r="AT163" s="86" t="s">
        <v>878</v>
      </c>
      <c r="AU163" s="86" t="s">
        <v>882</v>
      </c>
      <c r="AV163" s="86" t="s">
        <v>879</v>
      </c>
      <c r="AY163" s="33" t="s">
        <v>1151</v>
      </c>
      <c r="AZ163" s="94">
        <v>470</v>
      </c>
      <c r="BA163" s="94">
        <v>370</v>
      </c>
      <c r="BB163" s="94">
        <v>320</v>
      </c>
    </row>
    <row r="164" spans="1:54" ht="12" customHeight="1" x14ac:dyDescent="0.15">
      <c r="A164" s="86" t="s">
        <v>1032</v>
      </c>
      <c r="B164" s="127">
        <v>201454</v>
      </c>
      <c r="C164" s="127" t="s">
        <v>1560</v>
      </c>
      <c r="D164" s="204" t="s">
        <v>1142</v>
      </c>
      <c r="E164" s="86" t="s">
        <v>1079</v>
      </c>
      <c r="F164" s="86" t="s">
        <v>1079</v>
      </c>
      <c r="G164" s="130" t="s">
        <v>141</v>
      </c>
      <c r="H164" s="131" t="s">
        <v>141</v>
      </c>
      <c r="I164" s="6" t="s">
        <v>187</v>
      </c>
      <c r="J164" s="6" t="s">
        <v>48</v>
      </c>
      <c r="K164" s="6" t="s">
        <v>1081</v>
      </c>
      <c r="M164" s="6" t="s">
        <v>196</v>
      </c>
      <c r="O164" s="89" t="s">
        <v>175</v>
      </c>
      <c r="P164" s="89"/>
      <c r="Q164" s="89" t="s">
        <v>145</v>
      </c>
      <c r="R164" s="89" t="s">
        <v>142</v>
      </c>
      <c r="S164" s="89" t="s">
        <v>143</v>
      </c>
      <c r="T164" s="89" t="s">
        <v>142</v>
      </c>
      <c r="U164" s="89" t="s">
        <v>380</v>
      </c>
      <c r="AK164" s="86" t="s">
        <v>1369</v>
      </c>
      <c r="AL164" s="86" t="s">
        <v>1184</v>
      </c>
      <c r="AM164" s="86" t="s">
        <v>1078</v>
      </c>
      <c r="AN164" s="86" t="s">
        <v>1078</v>
      </c>
      <c r="AO164" s="86" t="s">
        <v>141</v>
      </c>
      <c r="AP164" s="86" t="s">
        <v>141</v>
      </c>
      <c r="AQ164" s="90">
        <v>12</v>
      </c>
      <c r="AR164" s="90" t="s">
        <v>1081</v>
      </c>
      <c r="AS164" s="86" t="s">
        <v>196</v>
      </c>
      <c r="AT164" s="86" t="s">
        <v>878</v>
      </c>
      <c r="AU164" s="86" t="s">
        <v>882</v>
      </c>
      <c r="AV164" s="86" t="s">
        <v>879</v>
      </c>
      <c r="AY164" s="33" t="s">
        <v>1151</v>
      </c>
      <c r="AZ164" s="94">
        <v>524</v>
      </c>
      <c r="BA164" s="94">
        <v>424</v>
      </c>
      <c r="BB164" s="94">
        <v>374</v>
      </c>
    </row>
    <row r="165" spans="1:54" ht="12" customHeight="1" x14ac:dyDescent="0.15">
      <c r="A165" s="86" t="s">
        <v>1033</v>
      </c>
      <c r="B165" s="127">
        <v>201455</v>
      </c>
      <c r="C165" s="127" t="s">
        <v>1578</v>
      </c>
      <c r="D165" s="204" t="s">
        <v>1143</v>
      </c>
      <c r="E165" s="86" t="s">
        <v>1083</v>
      </c>
      <c r="F165" s="86" t="s">
        <v>1083</v>
      </c>
      <c r="G165" s="130" t="s">
        <v>141</v>
      </c>
      <c r="H165" s="131" t="s">
        <v>141</v>
      </c>
      <c r="I165" s="130" t="s">
        <v>187</v>
      </c>
      <c r="J165" s="6" t="s">
        <v>1085</v>
      </c>
      <c r="K165" s="6" t="s">
        <v>1081</v>
      </c>
      <c r="M165" s="6" t="s">
        <v>196</v>
      </c>
      <c r="O165" s="89" t="s">
        <v>175</v>
      </c>
      <c r="P165" s="89"/>
      <c r="Q165" s="89" t="s">
        <v>145</v>
      </c>
      <c r="R165" s="89" t="s">
        <v>142</v>
      </c>
      <c r="S165" s="89" t="s">
        <v>143</v>
      </c>
      <c r="T165" s="89" t="s">
        <v>142</v>
      </c>
      <c r="U165" s="89" t="s">
        <v>380</v>
      </c>
      <c r="AK165" s="86" t="s">
        <v>1574</v>
      </c>
      <c r="AL165" s="86" t="s">
        <v>1185</v>
      </c>
      <c r="AM165" s="86" t="s">
        <v>1126</v>
      </c>
      <c r="AN165" s="86" t="s">
        <v>1126</v>
      </c>
      <c r="AO165" s="86" t="s">
        <v>141</v>
      </c>
      <c r="AP165" s="86" t="s">
        <v>141</v>
      </c>
      <c r="AQ165" s="90">
        <v>8</v>
      </c>
      <c r="AR165" s="90" t="s">
        <v>1081</v>
      </c>
      <c r="AS165" s="86" t="s">
        <v>196</v>
      </c>
      <c r="AT165" s="86" t="s">
        <v>878</v>
      </c>
      <c r="AU165" s="86" t="s">
        <v>882</v>
      </c>
      <c r="AV165" s="86" t="s">
        <v>879</v>
      </c>
      <c r="AY165" s="33" t="s">
        <v>1151</v>
      </c>
      <c r="AZ165" s="94">
        <v>416</v>
      </c>
      <c r="BA165" s="94">
        <v>316</v>
      </c>
      <c r="BB165" s="94">
        <v>266</v>
      </c>
    </row>
    <row r="166" spans="1:54" ht="12" customHeight="1" x14ac:dyDescent="0.15">
      <c r="A166" s="86" t="s">
        <v>1034</v>
      </c>
      <c r="B166" s="127">
        <v>201456</v>
      </c>
      <c r="C166" s="127" t="s">
        <v>1561</v>
      </c>
      <c r="D166" s="204" t="s">
        <v>1145</v>
      </c>
      <c r="E166" s="86" t="s">
        <v>1083</v>
      </c>
      <c r="F166" s="86" t="s">
        <v>1083</v>
      </c>
      <c r="G166" s="130" t="s">
        <v>141</v>
      </c>
      <c r="H166" s="131" t="s">
        <v>141</v>
      </c>
      <c r="I166" s="6" t="s">
        <v>187</v>
      </c>
      <c r="J166" s="6" t="s">
        <v>48</v>
      </c>
      <c r="K166" s="6" t="s">
        <v>1084</v>
      </c>
      <c r="M166" s="6" t="s">
        <v>196</v>
      </c>
      <c r="O166" s="134" t="s">
        <v>175</v>
      </c>
      <c r="P166" s="131"/>
      <c r="Q166" s="134" t="s">
        <v>145</v>
      </c>
      <c r="R166" s="134" t="s">
        <v>142</v>
      </c>
      <c r="S166" s="134" t="s">
        <v>143</v>
      </c>
      <c r="T166" s="134" t="s">
        <v>142</v>
      </c>
      <c r="U166" s="134" t="s">
        <v>380</v>
      </c>
      <c r="AK166" s="86" t="s">
        <v>1370</v>
      </c>
      <c r="AL166" s="86" t="s">
        <v>1186</v>
      </c>
      <c r="AM166" s="86" t="s">
        <v>1126</v>
      </c>
      <c r="AN166" s="86" t="s">
        <v>1126</v>
      </c>
      <c r="AO166" s="86" t="s">
        <v>141</v>
      </c>
      <c r="AP166" s="86" t="s">
        <v>141</v>
      </c>
      <c r="AQ166" s="90">
        <v>8</v>
      </c>
      <c r="AR166" s="90" t="s">
        <v>1081</v>
      </c>
      <c r="AS166" s="86" t="s">
        <v>196</v>
      </c>
      <c r="AT166" s="86" t="s">
        <v>878</v>
      </c>
      <c r="AU166" s="86" t="s">
        <v>882</v>
      </c>
      <c r="AV166" s="86" t="s">
        <v>879</v>
      </c>
      <c r="AY166" s="33" t="s">
        <v>1151</v>
      </c>
      <c r="AZ166" s="94">
        <v>470</v>
      </c>
      <c r="BA166" s="94">
        <v>370</v>
      </c>
      <c r="BB166" s="94">
        <v>320</v>
      </c>
    </row>
    <row r="167" spans="1:54" ht="12" customHeight="1" x14ac:dyDescent="0.15">
      <c r="A167" s="86" t="s">
        <v>1035</v>
      </c>
      <c r="B167" s="127">
        <v>201457</v>
      </c>
      <c r="C167" s="127" t="s">
        <v>1562</v>
      </c>
      <c r="D167" s="204" t="s">
        <v>1147</v>
      </c>
      <c r="E167" s="86" t="s">
        <v>1079</v>
      </c>
      <c r="F167" s="86" t="s">
        <v>1079</v>
      </c>
      <c r="G167" s="130" t="s">
        <v>141</v>
      </c>
      <c r="H167" s="131" t="s">
        <v>141</v>
      </c>
      <c r="I167" s="6" t="s">
        <v>187</v>
      </c>
      <c r="J167" s="6" t="s">
        <v>48</v>
      </c>
      <c r="K167" s="6" t="s">
        <v>1081</v>
      </c>
      <c r="M167" s="6" t="s">
        <v>196</v>
      </c>
      <c r="O167" s="134" t="s">
        <v>175</v>
      </c>
      <c r="P167" s="131"/>
      <c r="Q167" s="134" t="s">
        <v>145</v>
      </c>
      <c r="R167" s="134" t="s">
        <v>142</v>
      </c>
      <c r="S167" s="134" t="s">
        <v>143</v>
      </c>
      <c r="T167" s="134" t="s">
        <v>142</v>
      </c>
      <c r="U167" s="134" t="s">
        <v>380</v>
      </c>
      <c r="AK167" s="86" t="s">
        <v>1371</v>
      </c>
      <c r="AL167" s="86" t="s">
        <v>1187</v>
      </c>
      <c r="AM167" s="86" t="s">
        <v>1078</v>
      </c>
      <c r="AN167" s="86" t="s">
        <v>1078</v>
      </c>
      <c r="AO167" s="86" t="s">
        <v>141</v>
      </c>
      <c r="AP167" s="86" t="s">
        <v>141</v>
      </c>
      <c r="AQ167" s="90">
        <v>12</v>
      </c>
      <c r="AR167" s="90" t="s">
        <v>1081</v>
      </c>
      <c r="AS167" s="86" t="s">
        <v>196</v>
      </c>
      <c r="AT167" s="86" t="s">
        <v>878</v>
      </c>
      <c r="AU167" s="86" t="s">
        <v>882</v>
      </c>
      <c r="AV167" s="86" t="s">
        <v>879</v>
      </c>
      <c r="AY167" s="33" t="s">
        <v>1151</v>
      </c>
      <c r="AZ167" s="94">
        <v>524</v>
      </c>
      <c r="BA167" s="94">
        <v>424</v>
      </c>
      <c r="BB167" s="94">
        <v>374</v>
      </c>
    </row>
    <row r="168" spans="1:54" s="157" customFormat="1" ht="12" customHeight="1" x14ac:dyDescent="0.15">
      <c r="A168" s="157" t="s">
        <v>1036</v>
      </c>
      <c r="B168" s="158">
        <v>201458</v>
      </c>
      <c r="C168" s="158" t="s">
        <v>1127</v>
      </c>
      <c r="D168" s="204" t="s">
        <v>1565</v>
      </c>
      <c r="E168" s="157" t="s">
        <v>1083</v>
      </c>
      <c r="F168" s="157" t="s">
        <v>1083</v>
      </c>
      <c r="G168" s="160" t="s">
        <v>141</v>
      </c>
      <c r="H168" s="161" t="s">
        <v>141</v>
      </c>
      <c r="I168" s="160" t="s">
        <v>187</v>
      </c>
      <c r="J168" s="159" t="s">
        <v>1085</v>
      </c>
      <c r="K168" s="159" t="s">
        <v>1081</v>
      </c>
      <c r="L168" s="159"/>
      <c r="M168" s="159" t="s">
        <v>196</v>
      </c>
      <c r="N168" s="159"/>
      <c r="O168" s="161" t="s">
        <v>188</v>
      </c>
      <c r="P168" s="161"/>
      <c r="Q168" s="161" t="s">
        <v>878</v>
      </c>
      <c r="R168" s="161" t="s">
        <v>879</v>
      </c>
      <c r="S168" s="161" t="s">
        <v>880</v>
      </c>
      <c r="T168" s="161" t="s">
        <v>879</v>
      </c>
      <c r="U168" s="161" t="s">
        <v>881</v>
      </c>
      <c r="X168" s="159"/>
      <c r="Z168" s="159"/>
      <c r="AB168" s="159"/>
      <c r="AD168" s="159"/>
      <c r="AE168" s="159"/>
      <c r="AF168" s="159"/>
      <c r="AI168" s="163"/>
      <c r="AJ168" s="163"/>
      <c r="AK168" s="157" t="s">
        <v>1223</v>
      </c>
      <c r="AL168" s="157" t="s">
        <v>1188</v>
      </c>
      <c r="AM168" s="157" t="s">
        <v>1126</v>
      </c>
      <c r="AN168" s="157" t="s">
        <v>1126</v>
      </c>
      <c r="AO168" s="157" t="s">
        <v>141</v>
      </c>
      <c r="AP168" s="157" t="s">
        <v>141</v>
      </c>
      <c r="AQ168" s="163">
        <v>8</v>
      </c>
      <c r="AR168" s="163" t="s">
        <v>1081</v>
      </c>
      <c r="AS168" s="157" t="s">
        <v>196</v>
      </c>
      <c r="AT168" s="157" t="s">
        <v>878</v>
      </c>
      <c r="AU168" s="157" t="s">
        <v>882</v>
      </c>
      <c r="AV168" s="157" t="s">
        <v>879</v>
      </c>
      <c r="AY168" s="164" t="s">
        <v>1151</v>
      </c>
      <c r="AZ168" s="164">
        <v>416</v>
      </c>
      <c r="BA168" s="164">
        <v>316</v>
      </c>
      <c r="BB168" s="164">
        <v>266</v>
      </c>
    </row>
    <row r="169" spans="1:54" ht="12" customHeight="1" x14ac:dyDescent="0.15">
      <c r="A169" s="86" t="s">
        <v>1037</v>
      </c>
      <c r="B169" s="127">
        <v>201459</v>
      </c>
      <c r="C169" s="127" t="s">
        <v>1563</v>
      </c>
      <c r="D169" s="204" t="s">
        <v>1564</v>
      </c>
      <c r="E169" s="86" t="s">
        <v>1083</v>
      </c>
      <c r="F169" s="86" t="s">
        <v>1083</v>
      </c>
      <c r="G169" s="130" t="s">
        <v>141</v>
      </c>
      <c r="H169" s="131" t="s">
        <v>141</v>
      </c>
      <c r="I169" s="6" t="s">
        <v>187</v>
      </c>
      <c r="J169" s="6" t="s">
        <v>1086</v>
      </c>
      <c r="K169" s="6" t="s">
        <v>1081</v>
      </c>
      <c r="M169" s="6" t="s">
        <v>196</v>
      </c>
      <c r="O169" s="86" t="s">
        <v>188</v>
      </c>
      <c r="Q169" s="86" t="s">
        <v>878</v>
      </c>
      <c r="R169" s="86" t="s">
        <v>879</v>
      </c>
      <c r="S169" s="86" t="s">
        <v>880</v>
      </c>
      <c r="T169" s="86" t="s">
        <v>879</v>
      </c>
      <c r="U169" s="89" t="s">
        <v>380</v>
      </c>
      <c r="AK169" s="86" t="s">
        <v>1412</v>
      </c>
      <c r="AL169" s="86" t="s">
        <v>1189</v>
      </c>
      <c r="AM169" s="86" t="s">
        <v>1126</v>
      </c>
      <c r="AN169" s="86" t="s">
        <v>1126</v>
      </c>
      <c r="AO169" s="86" t="s">
        <v>141</v>
      </c>
      <c r="AP169" s="86" t="s">
        <v>141</v>
      </c>
      <c r="AQ169" s="90">
        <v>12</v>
      </c>
      <c r="AR169" s="90" t="s">
        <v>1081</v>
      </c>
      <c r="AS169" s="86" t="s">
        <v>196</v>
      </c>
      <c r="AT169" s="86" t="s">
        <v>878</v>
      </c>
      <c r="AU169" s="86" t="s">
        <v>882</v>
      </c>
      <c r="AV169" s="86" t="s">
        <v>879</v>
      </c>
      <c r="AY169" s="33" t="s">
        <v>1151</v>
      </c>
      <c r="AZ169" s="94">
        <v>578</v>
      </c>
      <c r="BA169" s="94">
        <v>478</v>
      </c>
      <c r="BB169" s="94">
        <v>428</v>
      </c>
    </row>
    <row r="170" spans="1:54" ht="12" customHeight="1" x14ac:dyDescent="0.15">
      <c r="A170" s="86" t="s">
        <v>1038</v>
      </c>
      <c r="B170" s="127">
        <v>201460</v>
      </c>
      <c r="C170" s="127" t="s">
        <v>1566</v>
      </c>
      <c r="D170" s="204" t="s">
        <v>1149</v>
      </c>
      <c r="E170" s="86" t="s">
        <v>1079</v>
      </c>
      <c r="F170" s="86" t="s">
        <v>1079</v>
      </c>
      <c r="G170" s="130" t="s">
        <v>141</v>
      </c>
      <c r="H170" s="131" t="s">
        <v>141</v>
      </c>
      <c r="I170" s="6" t="s">
        <v>187</v>
      </c>
      <c r="J170" s="6" t="s">
        <v>1122</v>
      </c>
      <c r="K170" s="6" t="s">
        <v>1081</v>
      </c>
      <c r="M170" s="6" t="s">
        <v>196</v>
      </c>
      <c r="O170" s="89" t="s">
        <v>175</v>
      </c>
      <c r="P170" s="89"/>
      <c r="Q170" s="89" t="s">
        <v>145</v>
      </c>
      <c r="R170" s="89" t="s">
        <v>142</v>
      </c>
      <c r="S170" s="89" t="s">
        <v>143</v>
      </c>
      <c r="T170" s="89" t="s">
        <v>142</v>
      </c>
      <c r="U170" s="89" t="s">
        <v>380</v>
      </c>
      <c r="AK170" s="86" t="s">
        <v>1376</v>
      </c>
      <c r="AL170" s="86" t="s">
        <v>1190</v>
      </c>
      <c r="AM170" s="86" t="s">
        <v>1078</v>
      </c>
      <c r="AN170" s="86" t="s">
        <v>1078</v>
      </c>
      <c r="AO170" s="86" t="s">
        <v>141</v>
      </c>
      <c r="AP170" s="86" t="s">
        <v>141</v>
      </c>
      <c r="AQ170" s="90">
        <v>8</v>
      </c>
      <c r="AR170" s="90" t="s">
        <v>1081</v>
      </c>
      <c r="AS170" s="86" t="s">
        <v>196</v>
      </c>
      <c r="AT170" s="86" t="s">
        <v>878</v>
      </c>
      <c r="AU170" s="86" t="s">
        <v>882</v>
      </c>
      <c r="AV170" s="86" t="s">
        <v>879</v>
      </c>
      <c r="AY170" s="33" t="s">
        <v>1151</v>
      </c>
      <c r="AZ170" s="94">
        <v>416</v>
      </c>
      <c r="BA170" s="94">
        <v>316</v>
      </c>
      <c r="BB170" s="94">
        <v>266</v>
      </c>
    </row>
    <row r="171" spans="1:54" s="157" customFormat="1" ht="12" customHeight="1" x14ac:dyDescent="0.15">
      <c r="A171" s="157" t="s">
        <v>1039</v>
      </c>
      <c r="B171" s="158">
        <v>201461</v>
      </c>
      <c r="C171" s="158" t="s">
        <v>1088</v>
      </c>
      <c r="D171" s="204" t="s">
        <v>1062</v>
      </c>
      <c r="E171" s="157" t="s">
        <v>1078</v>
      </c>
      <c r="F171" s="159" t="s">
        <v>1078</v>
      </c>
      <c r="G171" s="160" t="s">
        <v>141</v>
      </c>
      <c r="H171" s="161" t="s">
        <v>141</v>
      </c>
      <c r="I171" s="159" t="s">
        <v>187</v>
      </c>
      <c r="J171" s="159" t="s">
        <v>43</v>
      </c>
      <c r="K171" s="159" t="s">
        <v>1081</v>
      </c>
      <c r="L171" s="159"/>
      <c r="M171" s="159" t="s">
        <v>196</v>
      </c>
      <c r="N171" s="159"/>
      <c r="O171" s="162" t="s">
        <v>175</v>
      </c>
      <c r="P171" s="162"/>
      <c r="Q171" s="162" t="s">
        <v>145</v>
      </c>
      <c r="R171" s="162" t="s">
        <v>142</v>
      </c>
      <c r="S171" s="162" t="s">
        <v>143</v>
      </c>
      <c r="T171" s="162" t="s">
        <v>142</v>
      </c>
      <c r="U171" s="162" t="s">
        <v>380</v>
      </c>
      <c r="X171" s="159"/>
      <c r="Z171" s="159"/>
      <c r="AB171" s="159"/>
      <c r="AD171" s="159"/>
      <c r="AE171" s="159"/>
      <c r="AF171" s="159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Y171" s="164">
        <v>266</v>
      </c>
    </row>
    <row r="172" spans="1:54" s="157" customFormat="1" ht="12" customHeight="1" x14ac:dyDescent="0.15">
      <c r="A172" s="157" t="s">
        <v>1040</v>
      </c>
      <c r="B172" s="158">
        <v>201462</v>
      </c>
      <c r="C172" s="158" t="s">
        <v>1089</v>
      </c>
      <c r="D172" s="204" t="s">
        <v>1063</v>
      </c>
      <c r="E172" s="157" t="s">
        <v>1078</v>
      </c>
      <c r="F172" s="159" t="s">
        <v>1078</v>
      </c>
      <c r="G172" s="160" t="s">
        <v>141</v>
      </c>
      <c r="H172" s="161" t="s">
        <v>141</v>
      </c>
      <c r="I172" s="159" t="s">
        <v>187</v>
      </c>
      <c r="J172" s="159" t="s">
        <v>43</v>
      </c>
      <c r="K172" s="159" t="s">
        <v>1081</v>
      </c>
      <c r="L172" s="159"/>
      <c r="M172" s="159" t="s">
        <v>196</v>
      </c>
      <c r="N172" s="159"/>
      <c r="O172" s="165" t="s">
        <v>175</v>
      </c>
      <c r="P172" s="161"/>
      <c r="Q172" s="165" t="s">
        <v>145</v>
      </c>
      <c r="R172" s="165" t="s">
        <v>142</v>
      </c>
      <c r="S172" s="165" t="s">
        <v>143</v>
      </c>
      <c r="T172" s="165" t="s">
        <v>142</v>
      </c>
      <c r="U172" s="165" t="s">
        <v>380</v>
      </c>
      <c r="X172" s="159"/>
      <c r="Z172" s="159"/>
      <c r="AB172" s="159"/>
      <c r="AD172" s="159"/>
      <c r="AE172" s="159"/>
      <c r="AF172" s="159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Y172" s="164">
        <v>266</v>
      </c>
    </row>
    <row r="173" spans="1:54" s="157" customFormat="1" ht="12" customHeight="1" x14ac:dyDescent="0.15">
      <c r="A173" s="157" t="s">
        <v>1041</v>
      </c>
      <c r="B173" s="158">
        <v>201463</v>
      </c>
      <c r="C173" s="158" t="s">
        <v>1090</v>
      </c>
      <c r="D173" s="204" t="s">
        <v>1064</v>
      </c>
      <c r="E173" s="157" t="s">
        <v>1083</v>
      </c>
      <c r="F173" s="157" t="s">
        <v>1083</v>
      </c>
      <c r="G173" s="160" t="s">
        <v>141</v>
      </c>
      <c r="H173" s="161" t="s">
        <v>141</v>
      </c>
      <c r="I173" s="160" t="s">
        <v>187</v>
      </c>
      <c r="J173" s="159" t="s">
        <v>1080</v>
      </c>
      <c r="K173" s="159" t="s">
        <v>1081</v>
      </c>
      <c r="L173" s="159"/>
      <c r="M173" s="159" t="s">
        <v>196</v>
      </c>
      <c r="N173" s="159"/>
      <c r="O173" s="165" t="s">
        <v>175</v>
      </c>
      <c r="P173" s="161"/>
      <c r="Q173" s="165" t="s">
        <v>145</v>
      </c>
      <c r="R173" s="165" t="s">
        <v>142</v>
      </c>
      <c r="S173" s="165" t="s">
        <v>143</v>
      </c>
      <c r="T173" s="165" t="s">
        <v>142</v>
      </c>
      <c r="U173" s="165" t="s">
        <v>380</v>
      </c>
      <c r="X173" s="159"/>
      <c r="Z173" s="159"/>
      <c r="AB173" s="159"/>
      <c r="AD173" s="159"/>
      <c r="AE173" s="159"/>
      <c r="AF173" s="159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Y173" s="164">
        <v>212</v>
      </c>
    </row>
    <row r="174" spans="1:54" s="157" customFormat="1" ht="12" customHeight="1" x14ac:dyDescent="0.15">
      <c r="A174" s="157" t="s">
        <v>1042</v>
      </c>
      <c r="B174" s="158">
        <v>201464</v>
      </c>
      <c r="C174" s="158" t="s">
        <v>1091</v>
      </c>
      <c r="D174" s="204" t="s">
        <v>1065</v>
      </c>
      <c r="E174" s="157" t="s">
        <v>1078</v>
      </c>
      <c r="F174" s="159" t="s">
        <v>1078</v>
      </c>
      <c r="G174" s="160" t="s">
        <v>141</v>
      </c>
      <c r="H174" s="161" t="s">
        <v>141</v>
      </c>
      <c r="I174" s="159" t="s">
        <v>187</v>
      </c>
      <c r="J174" s="159" t="s">
        <v>43</v>
      </c>
      <c r="K174" s="159" t="s">
        <v>1081</v>
      </c>
      <c r="L174" s="159"/>
      <c r="M174" s="159" t="s">
        <v>196</v>
      </c>
      <c r="N174" s="159"/>
      <c r="O174" s="161" t="s">
        <v>188</v>
      </c>
      <c r="P174" s="161"/>
      <c r="Q174" s="161" t="s">
        <v>878</v>
      </c>
      <c r="R174" s="161" t="s">
        <v>879</v>
      </c>
      <c r="S174" s="161" t="s">
        <v>880</v>
      </c>
      <c r="T174" s="161" t="s">
        <v>879</v>
      </c>
      <c r="U174" s="161" t="s">
        <v>881</v>
      </c>
      <c r="X174" s="159"/>
      <c r="Z174" s="159"/>
      <c r="AB174" s="159"/>
      <c r="AD174" s="159"/>
      <c r="AE174" s="159"/>
      <c r="AF174" s="159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Y174" s="164">
        <v>266</v>
      </c>
    </row>
    <row r="175" spans="1:54" s="157" customFormat="1" ht="12" customHeight="1" x14ac:dyDescent="0.15">
      <c r="A175" s="157" t="s">
        <v>1043</v>
      </c>
      <c r="B175" s="158">
        <v>201465</v>
      </c>
      <c r="C175" s="158" t="s">
        <v>1092</v>
      </c>
      <c r="D175" s="204" t="s">
        <v>1066</v>
      </c>
      <c r="E175" s="157" t="s">
        <v>1083</v>
      </c>
      <c r="F175" s="157" t="s">
        <v>1083</v>
      </c>
      <c r="G175" s="160" t="s">
        <v>141</v>
      </c>
      <c r="H175" s="161" t="s">
        <v>141</v>
      </c>
      <c r="I175" s="159" t="s">
        <v>187</v>
      </c>
      <c r="J175" s="159" t="s">
        <v>1080</v>
      </c>
      <c r="K175" s="159" t="s">
        <v>1081</v>
      </c>
      <c r="L175" s="159"/>
      <c r="M175" s="159" t="s">
        <v>196</v>
      </c>
      <c r="N175" s="159"/>
      <c r="O175" s="165" t="s">
        <v>175</v>
      </c>
      <c r="P175" s="161"/>
      <c r="Q175" s="165" t="s">
        <v>145</v>
      </c>
      <c r="R175" s="165" t="s">
        <v>142</v>
      </c>
      <c r="S175" s="165" t="s">
        <v>143</v>
      </c>
      <c r="T175" s="165" t="s">
        <v>142</v>
      </c>
      <c r="U175" s="165" t="s">
        <v>380</v>
      </c>
      <c r="X175" s="159"/>
      <c r="Z175" s="159"/>
      <c r="AB175" s="159"/>
      <c r="AD175" s="159"/>
      <c r="AE175" s="159"/>
      <c r="AF175" s="159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Y175" s="164">
        <v>212</v>
      </c>
    </row>
    <row r="176" spans="1:54" s="157" customFormat="1" ht="12" customHeight="1" x14ac:dyDescent="0.15">
      <c r="A176" s="157" t="s">
        <v>1044</v>
      </c>
      <c r="B176" s="158">
        <v>201466</v>
      </c>
      <c r="C176" s="158" t="s">
        <v>1093</v>
      </c>
      <c r="D176" s="204" t="s">
        <v>1067</v>
      </c>
      <c r="E176" s="157" t="s">
        <v>1078</v>
      </c>
      <c r="F176" s="159" t="s">
        <v>1078</v>
      </c>
      <c r="G176" s="160" t="s">
        <v>141</v>
      </c>
      <c r="H176" s="161" t="s">
        <v>141</v>
      </c>
      <c r="I176" s="160" t="s">
        <v>187</v>
      </c>
      <c r="J176" s="159" t="s">
        <v>43</v>
      </c>
      <c r="K176" s="159" t="s">
        <v>1081</v>
      </c>
      <c r="L176" s="159"/>
      <c r="M176" s="159" t="s">
        <v>196</v>
      </c>
      <c r="N176" s="159"/>
      <c r="O176" s="165" t="s">
        <v>175</v>
      </c>
      <c r="P176" s="161"/>
      <c r="Q176" s="165" t="s">
        <v>145</v>
      </c>
      <c r="R176" s="165" t="s">
        <v>142</v>
      </c>
      <c r="S176" s="165" t="s">
        <v>143</v>
      </c>
      <c r="T176" s="165" t="s">
        <v>142</v>
      </c>
      <c r="U176" s="165" t="s">
        <v>380</v>
      </c>
      <c r="X176" s="159"/>
      <c r="Z176" s="159"/>
      <c r="AB176" s="159"/>
      <c r="AD176" s="159"/>
      <c r="AE176" s="159"/>
      <c r="AF176" s="159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Y176" s="164">
        <v>266</v>
      </c>
    </row>
    <row r="177" spans="1:51" s="157" customFormat="1" ht="12" customHeight="1" x14ac:dyDescent="0.15">
      <c r="A177" s="157" t="s">
        <v>1045</v>
      </c>
      <c r="B177" s="158">
        <v>201467</v>
      </c>
      <c r="C177" s="158" t="s">
        <v>1094</v>
      </c>
      <c r="D177" s="204" t="s">
        <v>1068</v>
      </c>
      <c r="E177" s="157" t="s">
        <v>1083</v>
      </c>
      <c r="F177" s="157" t="s">
        <v>1083</v>
      </c>
      <c r="G177" s="160" t="s">
        <v>141</v>
      </c>
      <c r="H177" s="161" t="s">
        <v>141</v>
      </c>
      <c r="I177" s="159" t="s">
        <v>187</v>
      </c>
      <c r="J177" s="159" t="s">
        <v>1080</v>
      </c>
      <c r="K177" s="159" t="s">
        <v>1081</v>
      </c>
      <c r="L177" s="159"/>
      <c r="M177" s="159" t="s">
        <v>196</v>
      </c>
      <c r="N177" s="159"/>
      <c r="O177" s="161" t="s">
        <v>188</v>
      </c>
      <c r="P177" s="161"/>
      <c r="Q177" s="161" t="s">
        <v>878</v>
      </c>
      <c r="R177" s="161" t="s">
        <v>879</v>
      </c>
      <c r="S177" s="161" t="s">
        <v>880</v>
      </c>
      <c r="T177" s="161" t="s">
        <v>879</v>
      </c>
      <c r="U177" s="161" t="s">
        <v>881</v>
      </c>
      <c r="X177" s="159"/>
      <c r="Z177" s="159"/>
      <c r="AB177" s="159"/>
      <c r="AD177" s="159"/>
      <c r="AE177" s="159"/>
      <c r="AF177" s="159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Y177" s="164">
        <v>212</v>
      </c>
    </row>
    <row r="178" spans="1:51" s="157" customFormat="1" ht="12" customHeight="1" x14ac:dyDescent="0.15">
      <c r="A178" s="157" t="s">
        <v>1046</v>
      </c>
      <c r="B178" s="158">
        <v>201468</v>
      </c>
      <c r="C178" s="158" t="s">
        <v>1095</v>
      </c>
      <c r="D178" s="204" t="s">
        <v>1069</v>
      </c>
      <c r="E178" s="157" t="s">
        <v>1078</v>
      </c>
      <c r="F178" s="159" t="s">
        <v>1078</v>
      </c>
      <c r="G178" s="160" t="s">
        <v>141</v>
      </c>
      <c r="H178" s="161" t="s">
        <v>141</v>
      </c>
      <c r="I178" s="159" t="s">
        <v>187</v>
      </c>
      <c r="J178" s="159" t="s">
        <v>43</v>
      </c>
      <c r="K178" s="159" t="s">
        <v>1081</v>
      </c>
      <c r="L178" s="159"/>
      <c r="M178" s="159" t="s">
        <v>196</v>
      </c>
      <c r="N178" s="159"/>
      <c r="O178" s="157" t="s">
        <v>188</v>
      </c>
      <c r="Q178" s="157" t="s">
        <v>878</v>
      </c>
      <c r="R178" s="157" t="s">
        <v>879</v>
      </c>
      <c r="S178" s="157" t="s">
        <v>880</v>
      </c>
      <c r="T178" s="157" t="s">
        <v>879</v>
      </c>
      <c r="U178" s="162" t="s">
        <v>380</v>
      </c>
      <c r="X178" s="159"/>
      <c r="Z178" s="159"/>
      <c r="AB178" s="159"/>
      <c r="AD178" s="159"/>
      <c r="AE178" s="159"/>
      <c r="AF178" s="159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Y178" s="164">
        <v>266</v>
      </c>
    </row>
    <row r="179" spans="1:51" s="157" customFormat="1" ht="12" customHeight="1" x14ac:dyDescent="0.15">
      <c r="A179" s="157" t="s">
        <v>1047</v>
      </c>
      <c r="B179" s="158">
        <v>201469</v>
      </c>
      <c r="C179" s="158" t="s">
        <v>1096</v>
      </c>
      <c r="D179" s="204" t="s">
        <v>1070</v>
      </c>
      <c r="E179" s="157" t="s">
        <v>1083</v>
      </c>
      <c r="F179" s="157" t="s">
        <v>1083</v>
      </c>
      <c r="G179" s="160" t="s">
        <v>141</v>
      </c>
      <c r="H179" s="161" t="s">
        <v>141</v>
      </c>
      <c r="I179" s="159" t="s">
        <v>187</v>
      </c>
      <c r="J179" s="159" t="s">
        <v>1080</v>
      </c>
      <c r="K179" s="159" t="s">
        <v>1081</v>
      </c>
      <c r="L179" s="159"/>
      <c r="M179" s="159" t="s">
        <v>196</v>
      </c>
      <c r="N179" s="159"/>
      <c r="O179" s="162" t="s">
        <v>175</v>
      </c>
      <c r="P179" s="162"/>
      <c r="Q179" s="162" t="s">
        <v>145</v>
      </c>
      <c r="R179" s="162" t="s">
        <v>142</v>
      </c>
      <c r="S179" s="162" t="s">
        <v>143</v>
      </c>
      <c r="T179" s="162" t="s">
        <v>142</v>
      </c>
      <c r="U179" s="162" t="s">
        <v>380</v>
      </c>
      <c r="X179" s="159"/>
      <c r="Z179" s="159"/>
      <c r="AB179" s="159"/>
      <c r="AD179" s="159"/>
      <c r="AE179" s="159"/>
      <c r="AF179" s="159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Y179" s="164">
        <v>212</v>
      </c>
    </row>
    <row r="180" spans="1:51" s="157" customFormat="1" ht="12" customHeight="1" x14ac:dyDescent="0.15">
      <c r="A180" s="157" t="s">
        <v>1048</v>
      </c>
      <c r="B180" s="158">
        <v>201470</v>
      </c>
      <c r="C180" s="158" t="s">
        <v>1097</v>
      </c>
      <c r="D180" s="204" t="s">
        <v>1071</v>
      </c>
      <c r="E180" s="157" t="s">
        <v>1078</v>
      </c>
      <c r="F180" s="159" t="s">
        <v>1078</v>
      </c>
      <c r="G180" s="160" t="s">
        <v>141</v>
      </c>
      <c r="H180" s="161" t="s">
        <v>141</v>
      </c>
      <c r="I180" s="159" t="s">
        <v>187</v>
      </c>
      <c r="J180" s="159" t="s">
        <v>43</v>
      </c>
      <c r="K180" s="159" t="s">
        <v>1081</v>
      </c>
      <c r="L180" s="159"/>
      <c r="M180" s="159" t="s">
        <v>196</v>
      </c>
      <c r="N180" s="159"/>
      <c r="O180" s="162" t="s">
        <v>175</v>
      </c>
      <c r="P180" s="162"/>
      <c r="Q180" s="162" t="s">
        <v>145</v>
      </c>
      <c r="R180" s="162" t="s">
        <v>142</v>
      </c>
      <c r="S180" s="162" t="s">
        <v>143</v>
      </c>
      <c r="T180" s="162" t="s">
        <v>142</v>
      </c>
      <c r="U180" s="162" t="s">
        <v>380</v>
      </c>
      <c r="X180" s="159"/>
      <c r="Z180" s="159"/>
      <c r="AB180" s="159"/>
      <c r="AD180" s="159"/>
      <c r="AE180" s="159"/>
      <c r="AF180" s="159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Y180" s="164">
        <v>266</v>
      </c>
    </row>
    <row r="181" spans="1:51" s="157" customFormat="1" ht="12" customHeight="1" x14ac:dyDescent="0.15">
      <c r="A181" s="157" t="s">
        <v>1049</v>
      </c>
      <c r="B181" s="158">
        <v>201471</v>
      </c>
      <c r="C181" s="158" t="s">
        <v>1098</v>
      </c>
      <c r="D181" s="204" t="s">
        <v>1072</v>
      </c>
      <c r="E181" s="157" t="s">
        <v>1083</v>
      </c>
      <c r="F181" s="157" t="s">
        <v>1083</v>
      </c>
      <c r="G181" s="160" t="s">
        <v>141</v>
      </c>
      <c r="H181" s="161" t="s">
        <v>141</v>
      </c>
      <c r="I181" s="160" t="s">
        <v>187</v>
      </c>
      <c r="J181" s="159" t="s">
        <v>1080</v>
      </c>
      <c r="K181" s="159" t="s">
        <v>1081</v>
      </c>
      <c r="L181" s="159"/>
      <c r="M181" s="159" t="s">
        <v>196</v>
      </c>
      <c r="N181" s="159"/>
      <c r="O181" s="165" t="s">
        <v>175</v>
      </c>
      <c r="P181" s="161"/>
      <c r="Q181" s="165" t="s">
        <v>145</v>
      </c>
      <c r="R181" s="165" t="s">
        <v>142</v>
      </c>
      <c r="S181" s="165" t="s">
        <v>143</v>
      </c>
      <c r="T181" s="165" t="s">
        <v>142</v>
      </c>
      <c r="U181" s="165" t="s">
        <v>380</v>
      </c>
      <c r="X181" s="159"/>
      <c r="Z181" s="159"/>
      <c r="AB181" s="159"/>
      <c r="AD181" s="159"/>
      <c r="AE181" s="159"/>
      <c r="AF181" s="159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Y181" s="164">
        <v>212</v>
      </c>
    </row>
    <row r="182" spans="1:51" s="157" customFormat="1" ht="12" customHeight="1" x14ac:dyDescent="0.15">
      <c r="A182" s="157" t="s">
        <v>1050</v>
      </c>
      <c r="B182" s="158">
        <v>201472</v>
      </c>
      <c r="C182" s="158" t="s">
        <v>1099</v>
      </c>
      <c r="D182" s="204" t="s">
        <v>1073</v>
      </c>
      <c r="E182" s="157" t="s">
        <v>1083</v>
      </c>
      <c r="F182" s="157" t="s">
        <v>1083</v>
      </c>
      <c r="G182" s="160" t="s">
        <v>141</v>
      </c>
      <c r="H182" s="161" t="s">
        <v>141</v>
      </c>
      <c r="I182" s="159" t="s">
        <v>187</v>
      </c>
      <c r="J182" s="159" t="s">
        <v>1080</v>
      </c>
      <c r="K182" s="159" t="s">
        <v>1081</v>
      </c>
      <c r="L182" s="159"/>
      <c r="M182" s="159" t="s">
        <v>196</v>
      </c>
      <c r="N182" s="159"/>
      <c r="O182" s="165" t="s">
        <v>175</v>
      </c>
      <c r="P182" s="161"/>
      <c r="Q182" s="165" t="s">
        <v>145</v>
      </c>
      <c r="R182" s="165" t="s">
        <v>142</v>
      </c>
      <c r="S182" s="165" t="s">
        <v>143</v>
      </c>
      <c r="T182" s="165" t="s">
        <v>142</v>
      </c>
      <c r="U182" s="165" t="s">
        <v>380</v>
      </c>
      <c r="X182" s="159"/>
      <c r="Z182" s="159"/>
      <c r="AB182" s="159"/>
      <c r="AD182" s="159"/>
      <c r="AE182" s="159"/>
      <c r="AF182" s="159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Y182" s="164">
        <v>212</v>
      </c>
    </row>
    <row r="183" spans="1:51" s="157" customFormat="1" ht="12" customHeight="1" x14ac:dyDescent="0.15">
      <c r="A183" s="157" t="s">
        <v>1051</v>
      </c>
      <c r="B183" s="158">
        <v>201473</v>
      </c>
      <c r="C183" s="158" t="s">
        <v>1100</v>
      </c>
      <c r="D183" s="204" t="s">
        <v>1074</v>
      </c>
      <c r="E183" s="157" t="s">
        <v>1078</v>
      </c>
      <c r="F183" s="159" t="s">
        <v>1078</v>
      </c>
      <c r="G183" s="160" t="s">
        <v>141</v>
      </c>
      <c r="H183" s="161" t="s">
        <v>141</v>
      </c>
      <c r="I183" s="159" t="s">
        <v>187</v>
      </c>
      <c r="J183" s="159" t="s">
        <v>1080</v>
      </c>
      <c r="K183" s="159" t="s">
        <v>1081</v>
      </c>
      <c r="L183" s="159"/>
      <c r="M183" s="159" t="s">
        <v>196</v>
      </c>
      <c r="N183" s="159"/>
      <c r="O183" s="161" t="s">
        <v>188</v>
      </c>
      <c r="P183" s="161"/>
      <c r="Q183" s="161" t="s">
        <v>878</v>
      </c>
      <c r="R183" s="161" t="s">
        <v>879</v>
      </c>
      <c r="S183" s="161" t="s">
        <v>880</v>
      </c>
      <c r="T183" s="161" t="s">
        <v>879</v>
      </c>
      <c r="U183" s="161" t="s">
        <v>881</v>
      </c>
      <c r="X183" s="159"/>
      <c r="Z183" s="159"/>
      <c r="AB183" s="159"/>
      <c r="AD183" s="159"/>
      <c r="AE183" s="159"/>
      <c r="AF183" s="159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Y183" s="164">
        <v>212</v>
      </c>
    </row>
    <row r="184" spans="1:51" s="157" customFormat="1" ht="12" customHeight="1" x14ac:dyDescent="0.15">
      <c r="A184" s="157" t="s">
        <v>1052</v>
      </c>
      <c r="B184" s="158">
        <v>201474</v>
      </c>
      <c r="C184" s="158" t="s">
        <v>1101</v>
      </c>
      <c r="D184" s="204" t="s">
        <v>1075</v>
      </c>
      <c r="E184" s="157" t="s">
        <v>1083</v>
      </c>
      <c r="F184" s="157" t="s">
        <v>1083</v>
      </c>
      <c r="G184" s="160" t="s">
        <v>141</v>
      </c>
      <c r="H184" s="161" t="s">
        <v>141</v>
      </c>
      <c r="I184" s="160" t="s">
        <v>187</v>
      </c>
      <c r="J184" s="159" t="s">
        <v>1080</v>
      </c>
      <c r="K184" s="159" t="s">
        <v>1081</v>
      </c>
      <c r="L184" s="159"/>
      <c r="M184" s="159" t="s">
        <v>196</v>
      </c>
      <c r="N184" s="159"/>
      <c r="O184" s="165" t="s">
        <v>175</v>
      </c>
      <c r="P184" s="161"/>
      <c r="Q184" s="165" t="s">
        <v>145</v>
      </c>
      <c r="R184" s="165" t="s">
        <v>142</v>
      </c>
      <c r="S184" s="165" t="s">
        <v>143</v>
      </c>
      <c r="T184" s="165" t="s">
        <v>142</v>
      </c>
      <c r="U184" s="165" t="s">
        <v>380</v>
      </c>
      <c r="X184" s="159"/>
      <c r="Z184" s="159"/>
      <c r="AB184" s="159"/>
      <c r="AD184" s="159"/>
      <c r="AE184" s="159"/>
      <c r="AF184" s="159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Y184" s="164">
        <v>212</v>
      </c>
    </row>
    <row r="185" spans="1:51" s="157" customFormat="1" ht="12" customHeight="1" x14ac:dyDescent="0.15">
      <c r="A185" s="157" t="s">
        <v>1053</v>
      </c>
      <c r="B185" s="158">
        <v>201475</v>
      </c>
      <c r="C185" s="158" t="s">
        <v>1102</v>
      </c>
      <c r="D185" s="204" t="s">
        <v>1076</v>
      </c>
      <c r="E185" s="157" t="s">
        <v>1083</v>
      </c>
      <c r="F185" s="157" t="s">
        <v>1083</v>
      </c>
      <c r="G185" s="160" t="s">
        <v>141</v>
      </c>
      <c r="H185" s="161" t="s">
        <v>141</v>
      </c>
      <c r="I185" s="159" t="s">
        <v>187</v>
      </c>
      <c r="J185" s="159" t="s">
        <v>43</v>
      </c>
      <c r="K185" s="159" t="s">
        <v>1081</v>
      </c>
      <c r="L185" s="159"/>
      <c r="M185" s="159" t="s">
        <v>196</v>
      </c>
      <c r="N185" s="159"/>
      <c r="O185" s="165" t="s">
        <v>175</v>
      </c>
      <c r="P185" s="161"/>
      <c r="Q185" s="165" t="s">
        <v>145</v>
      </c>
      <c r="R185" s="165" t="s">
        <v>142</v>
      </c>
      <c r="S185" s="165" t="s">
        <v>143</v>
      </c>
      <c r="T185" s="165" t="s">
        <v>142</v>
      </c>
      <c r="U185" s="165" t="s">
        <v>380</v>
      </c>
      <c r="X185" s="159"/>
      <c r="Z185" s="159"/>
      <c r="AB185" s="159"/>
      <c r="AD185" s="159"/>
      <c r="AE185" s="159"/>
      <c r="AF185" s="159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Y185" s="164">
        <v>266</v>
      </c>
    </row>
    <row r="186" spans="1:51" s="157" customFormat="1" ht="12" customHeight="1" x14ac:dyDescent="0.15">
      <c r="A186" s="157" t="s">
        <v>1054</v>
      </c>
      <c r="B186" s="158">
        <v>201476</v>
      </c>
      <c r="C186" s="158" t="s">
        <v>1103</v>
      </c>
      <c r="D186" s="204" t="s">
        <v>1077</v>
      </c>
      <c r="E186" s="157" t="s">
        <v>1078</v>
      </c>
      <c r="F186" s="159" t="s">
        <v>1078</v>
      </c>
      <c r="G186" s="160" t="s">
        <v>141</v>
      </c>
      <c r="H186" s="161" t="s">
        <v>141</v>
      </c>
      <c r="I186" s="159" t="s">
        <v>187</v>
      </c>
      <c r="J186" s="159" t="s">
        <v>1080</v>
      </c>
      <c r="K186" s="159" t="s">
        <v>1081</v>
      </c>
      <c r="L186" s="159"/>
      <c r="M186" s="159" t="s">
        <v>196</v>
      </c>
      <c r="N186" s="159"/>
      <c r="O186" s="161" t="s">
        <v>188</v>
      </c>
      <c r="P186" s="161"/>
      <c r="Q186" s="161" t="s">
        <v>878</v>
      </c>
      <c r="R186" s="161" t="s">
        <v>879</v>
      </c>
      <c r="S186" s="161" t="s">
        <v>880</v>
      </c>
      <c r="T186" s="161" t="s">
        <v>879</v>
      </c>
      <c r="U186" s="161" t="s">
        <v>881</v>
      </c>
      <c r="X186" s="159"/>
      <c r="Z186" s="159"/>
      <c r="AB186" s="159"/>
      <c r="AD186" s="159"/>
      <c r="AE186" s="159"/>
      <c r="AF186" s="159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Y186" s="164">
        <v>212</v>
      </c>
    </row>
    <row r="187" spans="1:51" ht="12" customHeight="1" x14ac:dyDescent="0.15">
      <c r="A187" s="86" t="s">
        <v>1055</v>
      </c>
      <c r="B187" s="127">
        <v>201477</v>
      </c>
      <c r="C187" s="127" t="s">
        <v>1128</v>
      </c>
      <c r="D187" s="204" t="s">
        <v>1131</v>
      </c>
      <c r="E187" s="86" t="s">
        <v>1083</v>
      </c>
      <c r="F187" s="86" t="s">
        <v>1083</v>
      </c>
      <c r="G187" s="130" t="s">
        <v>141</v>
      </c>
      <c r="H187" s="131" t="s">
        <v>141</v>
      </c>
      <c r="I187" s="130" t="s">
        <v>187</v>
      </c>
      <c r="J187" s="6" t="s">
        <v>1087</v>
      </c>
      <c r="K187" s="6" t="s">
        <v>38</v>
      </c>
      <c r="M187" s="6" t="s">
        <v>196</v>
      </c>
      <c r="O187" s="86" t="s">
        <v>188</v>
      </c>
      <c r="Q187" s="86" t="s">
        <v>878</v>
      </c>
      <c r="R187" s="86" t="s">
        <v>879</v>
      </c>
      <c r="S187" s="86" t="s">
        <v>880</v>
      </c>
      <c r="T187" s="86" t="s">
        <v>879</v>
      </c>
      <c r="U187" s="89" t="s">
        <v>380</v>
      </c>
      <c r="AY187" s="33">
        <v>52</v>
      </c>
    </row>
    <row r="188" spans="1:51" ht="12" customHeight="1" x14ac:dyDescent="0.15">
      <c r="A188" s="86" t="s">
        <v>1056</v>
      </c>
      <c r="B188" s="127">
        <v>201478</v>
      </c>
      <c r="C188" s="127" t="s">
        <v>1201</v>
      </c>
      <c r="D188" s="204" t="s">
        <v>1137</v>
      </c>
      <c r="E188" s="86" t="s">
        <v>1083</v>
      </c>
      <c r="F188" s="86" t="s">
        <v>1083</v>
      </c>
      <c r="G188" s="130" t="s">
        <v>141</v>
      </c>
      <c r="H188" s="131" t="s">
        <v>141</v>
      </c>
      <c r="I188" s="6" t="s">
        <v>187</v>
      </c>
      <c r="J188" s="6" t="s">
        <v>1087</v>
      </c>
      <c r="K188" s="6" t="s">
        <v>38</v>
      </c>
      <c r="M188" s="6" t="s">
        <v>196</v>
      </c>
      <c r="O188" s="89" t="s">
        <v>175</v>
      </c>
      <c r="P188" s="89"/>
      <c r="Q188" s="89" t="s">
        <v>145</v>
      </c>
      <c r="R188" s="89" t="s">
        <v>142</v>
      </c>
      <c r="S188" s="89" t="s">
        <v>143</v>
      </c>
      <c r="T188" s="89" t="s">
        <v>142</v>
      </c>
      <c r="U188" s="89" t="s">
        <v>380</v>
      </c>
      <c r="AY188" s="33">
        <v>52</v>
      </c>
    </row>
    <row r="189" spans="1:51" ht="12" customHeight="1" x14ac:dyDescent="0.15">
      <c r="A189" s="86" t="s">
        <v>1057</v>
      </c>
      <c r="B189" s="127">
        <v>201479</v>
      </c>
      <c r="C189" s="127" t="s">
        <v>1217</v>
      </c>
      <c r="D189" s="204" t="s">
        <v>1139</v>
      </c>
      <c r="E189" s="86" t="s">
        <v>1083</v>
      </c>
      <c r="F189" s="86" t="s">
        <v>1083</v>
      </c>
      <c r="G189" s="130" t="s">
        <v>141</v>
      </c>
      <c r="H189" s="131" t="s">
        <v>141</v>
      </c>
      <c r="I189" s="6" t="s">
        <v>187</v>
      </c>
      <c r="J189" s="6" t="s">
        <v>1087</v>
      </c>
      <c r="K189" s="6" t="s">
        <v>38</v>
      </c>
      <c r="M189" s="6" t="s">
        <v>196</v>
      </c>
      <c r="O189" s="89" t="s">
        <v>175</v>
      </c>
      <c r="P189" s="89"/>
      <c r="Q189" s="89" t="s">
        <v>145</v>
      </c>
      <c r="R189" s="89" t="s">
        <v>142</v>
      </c>
      <c r="S189" s="89" t="s">
        <v>143</v>
      </c>
      <c r="T189" s="89" t="s">
        <v>142</v>
      </c>
      <c r="U189" s="89" t="s">
        <v>380</v>
      </c>
      <c r="AY189" s="33">
        <v>52</v>
      </c>
    </row>
    <row r="190" spans="1:51" ht="12" customHeight="1" x14ac:dyDescent="0.15">
      <c r="A190" s="86" t="s">
        <v>1058</v>
      </c>
      <c r="B190" s="127">
        <v>201480</v>
      </c>
      <c r="C190" s="127" t="s">
        <v>1226</v>
      </c>
      <c r="D190" s="204" t="s">
        <v>1141</v>
      </c>
      <c r="E190" s="86" t="s">
        <v>1083</v>
      </c>
      <c r="F190" s="86" t="s">
        <v>1083</v>
      </c>
      <c r="G190" s="130" t="s">
        <v>141</v>
      </c>
      <c r="H190" s="131" t="s">
        <v>141</v>
      </c>
      <c r="I190" s="6" t="s">
        <v>187</v>
      </c>
      <c r="J190" s="6" t="s">
        <v>1087</v>
      </c>
      <c r="K190" s="6" t="s">
        <v>38</v>
      </c>
      <c r="M190" s="6" t="s">
        <v>196</v>
      </c>
      <c r="O190" s="134" t="s">
        <v>175</v>
      </c>
      <c r="P190" s="131"/>
      <c r="Q190" s="134" t="s">
        <v>145</v>
      </c>
      <c r="R190" s="134" t="s">
        <v>142</v>
      </c>
      <c r="S190" s="134" t="s">
        <v>143</v>
      </c>
      <c r="T190" s="134" t="s">
        <v>142</v>
      </c>
      <c r="U190" s="134" t="s">
        <v>380</v>
      </c>
      <c r="AY190" s="33">
        <v>52</v>
      </c>
    </row>
    <row r="191" spans="1:51" ht="12" customHeight="1" x14ac:dyDescent="0.15">
      <c r="A191" s="86" t="s">
        <v>1059</v>
      </c>
      <c r="B191" s="127">
        <v>201481</v>
      </c>
      <c r="C191" s="127" t="s">
        <v>1219</v>
      </c>
      <c r="D191" s="204" t="s">
        <v>1144</v>
      </c>
      <c r="E191" s="86" t="s">
        <v>1083</v>
      </c>
      <c r="F191" s="86" t="s">
        <v>1083</v>
      </c>
      <c r="G191" s="130" t="s">
        <v>141</v>
      </c>
      <c r="H191" s="131" t="s">
        <v>141</v>
      </c>
      <c r="I191" s="6" t="s">
        <v>187</v>
      </c>
      <c r="J191" s="6" t="s">
        <v>1087</v>
      </c>
      <c r="K191" s="6" t="s">
        <v>38</v>
      </c>
      <c r="M191" s="6" t="s">
        <v>196</v>
      </c>
      <c r="O191" s="134" t="s">
        <v>175</v>
      </c>
      <c r="P191" s="131"/>
      <c r="Q191" s="134" t="s">
        <v>145</v>
      </c>
      <c r="R191" s="134" t="s">
        <v>142</v>
      </c>
      <c r="S191" s="134" t="s">
        <v>143</v>
      </c>
      <c r="T191" s="134" t="s">
        <v>142</v>
      </c>
      <c r="U191" s="134" t="s">
        <v>380</v>
      </c>
      <c r="AY191" s="33">
        <v>52</v>
      </c>
    </row>
    <row r="192" spans="1:51" ht="12" customHeight="1" x14ac:dyDescent="0.15">
      <c r="A192" s="86" t="s">
        <v>1060</v>
      </c>
      <c r="B192" s="127">
        <v>201482</v>
      </c>
      <c r="C192" s="127" t="s">
        <v>1202</v>
      </c>
      <c r="D192" s="204" t="s">
        <v>1146</v>
      </c>
      <c r="E192" s="86" t="s">
        <v>1083</v>
      </c>
      <c r="F192" s="86" t="s">
        <v>1083</v>
      </c>
      <c r="G192" s="130" t="s">
        <v>141</v>
      </c>
      <c r="H192" s="131" t="s">
        <v>141</v>
      </c>
      <c r="I192" s="130" t="s">
        <v>187</v>
      </c>
      <c r="J192" s="6" t="s">
        <v>1087</v>
      </c>
      <c r="K192" s="6" t="s">
        <v>38</v>
      </c>
      <c r="M192" s="6" t="s">
        <v>196</v>
      </c>
      <c r="O192" s="131" t="s">
        <v>188</v>
      </c>
      <c r="P192" s="131"/>
      <c r="Q192" s="131" t="s">
        <v>878</v>
      </c>
      <c r="R192" s="131" t="s">
        <v>879</v>
      </c>
      <c r="S192" s="131" t="s">
        <v>880</v>
      </c>
      <c r="T192" s="131" t="s">
        <v>879</v>
      </c>
      <c r="U192" s="131" t="s">
        <v>881</v>
      </c>
      <c r="AY192" s="33">
        <v>52</v>
      </c>
    </row>
    <row r="193" spans="1:51" ht="12" customHeight="1" x14ac:dyDescent="0.15">
      <c r="A193" s="86" t="s">
        <v>1061</v>
      </c>
      <c r="B193" s="127">
        <v>201483</v>
      </c>
      <c r="C193" s="127" t="s">
        <v>1220</v>
      </c>
      <c r="D193" s="204" t="s">
        <v>1148</v>
      </c>
      <c r="E193" s="86" t="s">
        <v>1083</v>
      </c>
      <c r="F193" s="86" t="s">
        <v>1083</v>
      </c>
      <c r="G193" s="130" t="s">
        <v>141</v>
      </c>
      <c r="H193" s="131" t="s">
        <v>141</v>
      </c>
      <c r="I193" s="6" t="s">
        <v>187</v>
      </c>
      <c r="J193" s="6" t="s">
        <v>1087</v>
      </c>
      <c r="K193" s="6" t="s">
        <v>38</v>
      </c>
      <c r="M193" s="6" t="s">
        <v>196</v>
      </c>
      <c r="O193" s="134" t="s">
        <v>175</v>
      </c>
      <c r="P193" s="131"/>
      <c r="Q193" s="134" t="s">
        <v>145</v>
      </c>
      <c r="R193" s="134" t="s">
        <v>142</v>
      </c>
      <c r="S193" s="134" t="s">
        <v>143</v>
      </c>
      <c r="T193" s="134" t="s">
        <v>142</v>
      </c>
      <c r="U193" s="134" t="s">
        <v>380</v>
      </c>
      <c r="AY193" s="33">
        <v>52</v>
      </c>
    </row>
    <row r="194" spans="1:51" ht="12" customHeight="1" x14ac:dyDescent="0.15">
      <c r="A194" s="86" t="s">
        <v>1162</v>
      </c>
      <c r="B194" s="127">
        <v>201484</v>
      </c>
      <c r="C194" s="86" t="s">
        <v>1569</v>
      </c>
      <c r="D194" s="204" t="s">
        <v>1164</v>
      </c>
      <c r="E194" s="86" t="s">
        <v>1407</v>
      </c>
      <c r="F194" s="6" t="s">
        <v>1001</v>
      </c>
      <c r="G194" s="6" t="s">
        <v>907</v>
      </c>
      <c r="H194" s="86" t="s">
        <v>907</v>
      </c>
      <c r="I194" s="6" t="s">
        <v>187</v>
      </c>
      <c r="J194" s="6" t="s">
        <v>37</v>
      </c>
      <c r="K194" s="6" t="s">
        <v>38</v>
      </c>
      <c r="M194" s="6" t="s">
        <v>361</v>
      </c>
      <c r="N194" s="6" t="s">
        <v>146</v>
      </c>
      <c r="O194" s="86" t="s">
        <v>188</v>
      </c>
      <c r="Q194" s="86" t="s">
        <v>145</v>
      </c>
      <c r="R194" s="86" t="s">
        <v>142</v>
      </c>
      <c r="S194" s="86" t="s">
        <v>143</v>
      </c>
      <c r="T194" s="86" t="s">
        <v>142</v>
      </c>
      <c r="U194" s="86" t="s">
        <v>380</v>
      </c>
      <c r="AK194" s="169" t="s">
        <v>1417</v>
      </c>
      <c r="AL194" s="169" t="s">
        <v>1167</v>
      </c>
      <c r="AM194" s="86" t="s">
        <v>908</v>
      </c>
      <c r="AN194" s="86" t="s">
        <v>908</v>
      </c>
      <c r="AO194" s="86" t="s">
        <v>907</v>
      </c>
      <c r="AP194" s="86" t="s">
        <v>907</v>
      </c>
      <c r="AQ194" s="131" t="s">
        <v>0</v>
      </c>
      <c r="AR194" s="131" t="s">
        <v>38</v>
      </c>
      <c r="AS194" s="86" t="s">
        <v>196</v>
      </c>
      <c r="AT194" s="86" t="s">
        <v>878</v>
      </c>
      <c r="AU194" s="86" t="s">
        <v>882</v>
      </c>
      <c r="AV194" s="86" t="s">
        <v>879</v>
      </c>
      <c r="AY194" s="33">
        <v>127.1</v>
      </c>
    </row>
    <row r="195" spans="1:51" ht="12" customHeight="1" x14ac:dyDescent="0.15">
      <c r="A195" s="86" t="s">
        <v>1163</v>
      </c>
      <c r="B195" s="127">
        <v>201485</v>
      </c>
      <c r="C195" s="127" t="s">
        <v>1570</v>
      </c>
      <c r="D195" s="204" t="s">
        <v>1170</v>
      </c>
      <c r="E195" s="131" t="s">
        <v>971</v>
      </c>
      <c r="F195" s="131" t="s">
        <v>971</v>
      </c>
      <c r="G195" s="130" t="s">
        <v>907</v>
      </c>
      <c r="H195" s="131" t="s">
        <v>907</v>
      </c>
      <c r="I195" s="130" t="s">
        <v>187</v>
      </c>
      <c r="J195" s="130" t="s">
        <v>0</v>
      </c>
      <c r="K195" s="136" t="s">
        <v>38</v>
      </c>
      <c r="L195" s="130"/>
      <c r="M195" s="136" t="s">
        <v>361</v>
      </c>
      <c r="N195" s="136" t="s">
        <v>146</v>
      </c>
      <c r="O195" s="134" t="s">
        <v>175</v>
      </c>
      <c r="Q195" s="134" t="s">
        <v>145</v>
      </c>
      <c r="R195" s="134" t="s">
        <v>142</v>
      </c>
      <c r="S195" s="134" t="s">
        <v>143</v>
      </c>
      <c r="T195" s="134" t="s">
        <v>142</v>
      </c>
      <c r="U195" s="134" t="s">
        <v>380</v>
      </c>
      <c r="AK195" s="86" t="s">
        <v>1418</v>
      </c>
      <c r="AL195" s="86" t="s">
        <v>1165</v>
      </c>
      <c r="AM195" s="131" t="s">
        <v>993</v>
      </c>
      <c r="AN195" s="131" t="s">
        <v>908</v>
      </c>
      <c r="AO195" s="131" t="s">
        <v>982</v>
      </c>
      <c r="AP195" s="131" t="s">
        <v>982</v>
      </c>
      <c r="AQ195" s="131" t="s">
        <v>0</v>
      </c>
      <c r="AR195" s="131" t="s">
        <v>38</v>
      </c>
      <c r="AS195" s="86" t="s">
        <v>196</v>
      </c>
      <c r="AT195" s="86" t="s">
        <v>878</v>
      </c>
      <c r="AU195" s="86" t="s">
        <v>882</v>
      </c>
      <c r="AV195" s="86" t="s">
        <v>879</v>
      </c>
      <c r="AY195" s="33">
        <v>127.1</v>
      </c>
    </row>
    <row r="196" spans="1:51" ht="12" customHeight="1" x14ac:dyDescent="0.15">
      <c r="A196" s="86" t="s">
        <v>1207</v>
      </c>
      <c r="B196" s="127">
        <v>201486</v>
      </c>
      <c r="C196" s="127" t="s">
        <v>1571</v>
      </c>
      <c r="D196" s="204" t="s">
        <v>1208</v>
      </c>
      <c r="E196" s="131" t="s">
        <v>140</v>
      </c>
      <c r="F196" s="130" t="s">
        <v>140</v>
      </c>
      <c r="G196" s="130" t="s">
        <v>141</v>
      </c>
      <c r="H196" s="131" t="s">
        <v>141</v>
      </c>
      <c r="I196" s="130" t="s">
        <v>187</v>
      </c>
      <c r="J196" s="130" t="s">
        <v>37</v>
      </c>
      <c r="K196" s="130" t="s">
        <v>38</v>
      </c>
      <c r="L196" s="130"/>
      <c r="M196" s="130" t="s">
        <v>361</v>
      </c>
      <c r="N196" s="130" t="s">
        <v>877</v>
      </c>
      <c r="O196" s="131" t="s">
        <v>188</v>
      </c>
      <c r="P196" s="131"/>
      <c r="Q196" s="131" t="s">
        <v>878</v>
      </c>
      <c r="R196" s="131" t="s">
        <v>879</v>
      </c>
      <c r="S196" s="131" t="s">
        <v>880</v>
      </c>
      <c r="T196" s="131" t="s">
        <v>879</v>
      </c>
      <c r="U196" s="131" t="s">
        <v>881</v>
      </c>
      <c r="AK196" s="127" t="s">
        <v>1383</v>
      </c>
      <c r="AL196" s="86" t="s">
        <v>1208</v>
      </c>
      <c r="AM196" s="131" t="s">
        <v>1120</v>
      </c>
      <c r="AN196" s="131" t="s">
        <v>144</v>
      </c>
      <c r="AO196" s="131" t="s">
        <v>141</v>
      </c>
      <c r="AP196" s="131" t="s">
        <v>141</v>
      </c>
      <c r="AQ196" s="131" t="s">
        <v>0</v>
      </c>
      <c r="AR196" s="86" t="s">
        <v>38</v>
      </c>
      <c r="AS196" s="86" t="s">
        <v>977</v>
      </c>
      <c r="AT196" s="131" t="s">
        <v>878</v>
      </c>
      <c r="AU196" s="131" t="s">
        <v>882</v>
      </c>
      <c r="AV196" s="131" t="s">
        <v>879</v>
      </c>
      <c r="AY196" s="33">
        <v>107.5</v>
      </c>
    </row>
    <row r="197" spans="1:51" ht="12" customHeight="1" x14ac:dyDescent="0.15">
      <c r="A197" s="86" t="s">
        <v>1229</v>
      </c>
      <c r="B197" s="127">
        <v>201487</v>
      </c>
      <c r="C197" s="127" t="s">
        <v>1572</v>
      </c>
      <c r="D197" s="204" t="s">
        <v>1230</v>
      </c>
      <c r="E197" s="131" t="s">
        <v>140</v>
      </c>
      <c r="F197" s="130" t="s">
        <v>140</v>
      </c>
      <c r="G197" s="130" t="s">
        <v>141</v>
      </c>
      <c r="H197" s="131" t="s">
        <v>141</v>
      </c>
      <c r="I197" s="130" t="s">
        <v>187</v>
      </c>
      <c r="J197" s="130" t="s">
        <v>37</v>
      </c>
      <c r="K197" s="130" t="s">
        <v>38</v>
      </c>
      <c r="L197" s="130"/>
      <c r="M197" s="130" t="s">
        <v>361</v>
      </c>
      <c r="N197" s="130" t="s">
        <v>877</v>
      </c>
      <c r="O197" s="131" t="s">
        <v>188</v>
      </c>
      <c r="P197" s="131"/>
      <c r="Q197" s="131" t="s">
        <v>878</v>
      </c>
      <c r="R197" s="131" t="s">
        <v>879</v>
      </c>
      <c r="S197" s="131" t="s">
        <v>880</v>
      </c>
      <c r="T197" s="131" t="s">
        <v>879</v>
      </c>
      <c r="U197" s="131" t="s">
        <v>881</v>
      </c>
      <c r="AK197" s="127" t="s">
        <v>1387</v>
      </c>
      <c r="AL197" s="86" t="s">
        <v>1231</v>
      </c>
      <c r="AM197" s="89" t="s">
        <v>144</v>
      </c>
      <c r="AN197" s="89" t="s">
        <v>144</v>
      </c>
      <c r="AO197" s="12" t="s">
        <v>141</v>
      </c>
      <c r="AP197" s="89" t="s">
        <v>141</v>
      </c>
      <c r="AQ197" s="12" t="s">
        <v>0</v>
      </c>
      <c r="AR197" s="89" t="s">
        <v>38</v>
      </c>
      <c r="AS197" s="12" t="s">
        <v>142</v>
      </c>
      <c r="AT197" s="89" t="s">
        <v>145</v>
      </c>
      <c r="AU197" s="12" t="s">
        <v>362</v>
      </c>
      <c r="AV197" s="12" t="s">
        <v>142</v>
      </c>
      <c r="AW197" s="89"/>
      <c r="AX197" s="89"/>
      <c r="AY197" s="32">
        <v>107.5</v>
      </c>
    </row>
    <row r="198" spans="1:51" ht="12" customHeight="1" x14ac:dyDescent="0.15">
      <c r="A198" s="86" t="s">
        <v>1385</v>
      </c>
      <c r="B198" s="127">
        <v>201488</v>
      </c>
      <c r="C198" s="86" t="s">
        <v>1389</v>
      </c>
      <c r="D198" s="204" t="s">
        <v>1386</v>
      </c>
      <c r="E198" s="86" t="s">
        <v>1001</v>
      </c>
      <c r="F198" s="6" t="s">
        <v>1001</v>
      </c>
      <c r="G198" s="6" t="s">
        <v>907</v>
      </c>
      <c r="H198" s="86" t="s">
        <v>907</v>
      </c>
      <c r="I198" s="6" t="s">
        <v>187</v>
      </c>
      <c r="J198" s="6" t="s">
        <v>37</v>
      </c>
      <c r="K198" s="6" t="s">
        <v>38</v>
      </c>
      <c r="M198" s="6" t="s">
        <v>196</v>
      </c>
      <c r="O198" s="86" t="s">
        <v>188</v>
      </c>
      <c r="Q198" s="86" t="s">
        <v>145</v>
      </c>
      <c r="R198" s="86" t="s">
        <v>142</v>
      </c>
      <c r="S198" s="86" t="s">
        <v>143</v>
      </c>
      <c r="T198" s="86" t="s">
        <v>142</v>
      </c>
      <c r="U198" s="86" t="s">
        <v>380</v>
      </c>
      <c r="AK198" s="127" t="s">
        <v>1388</v>
      </c>
      <c r="AL198" s="86" t="s">
        <v>1390</v>
      </c>
      <c r="AM198" s="86" t="s">
        <v>908</v>
      </c>
      <c r="AN198" s="86" t="s">
        <v>908</v>
      </c>
      <c r="AO198" s="86" t="s">
        <v>907</v>
      </c>
      <c r="AP198" s="86" t="s">
        <v>907</v>
      </c>
      <c r="AQ198" s="86" t="s">
        <v>37</v>
      </c>
      <c r="AR198" s="86" t="s">
        <v>38</v>
      </c>
      <c r="AS198" s="86" t="s">
        <v>196</v>
      </c>
      <c r="AT198" s="86" t="s">
        <v>878</v>
      </c>
      <c r="AU198" s="86" t="s">
        <v>882</v>
      </c>
      <c r="AV198" s="86" t="s">
        <v>879</v>
      </c>
      <c r="AY198" s="33">
        <v>127.1</v>
      </c>
    </row>
    <row r="199" spans="1:51" ht="12" customHeight="1" x14ac:dyDescent="0.15">
      <c r="A199" s="86" t="s">
        <v>1404</v>
      </c>
      <c r="B199" s="127">
        <v>201489</v>
      </c>
      <c r="C199" s="86" t="s">
        <v>1405</v>
      </c>
      <c r="D199" s="204" t="s">
        <v>1403</v>
      </c>
      <c r="E199" s="86" t="s">
        <v>1408</v>
      </c>
      <c r="F199" s="6" t="s">
        <v>908</v>
      </c>
      <c r="G199" s="6" t="s">
        <v>907</v>
      </c>
      <c r="H199" s="86" t="s">
        <v>907</v>
      </c>
      <c r="I199" s="6" t="s">
        <v>187</v>
      </c>
      <c r="J199" s="6" t="s">
        <v>1406</v>
      </c>
      <c r="K199" s="6" t="s">
        <v>910</v>
      </c>
      <c r="M199" s="6" t="s">
        <v>196</v>
      </c>
      <c r="O199" s="86" t="s">
        <v>188</v>
      </c>
      <c r="Q199" s="86" t="s">
        <v>197</v>
      </c>
      <c r="R199" s="86" t="s">
        <v>196</v>
      </c>
      <c r="S199" s="86" t="s">
        <v>143</v>
      </c>
      <c r="T199" s="86" t="s">
        <v>196</v>
      </c>
      <c r="U199" s="86" t="s">
        <v>380</v>
      </c>
      <c r="AY199" s="33">
        <v>26</v>
      </c>
    </row>
    <row r="217" spans="31:31" ht="12" customHeight="1" x14ac:dyDescent="0.15">
      <c r="AE217" s="6" t="s">
        <v>1237</v>
      </c>
    </row>
  </sheetData>
  <autoFilter ref="A1:BB199" xr:uid="{00000000-0001-0000-0300-000000000000}"/>
  <phoneticPr fontId="10"/>
  <conditionalFormatting sqref="G122 E122 O122:S122 X122 AC122 L122 AC125 X125 P125 O194:S194 L143:L145 AC143:AC145 X143:X145 E143:E145 G143:G145 O143:S145 L152 G152 X152:X153 AC152:AC153 P152 G194 L155:L194 AC155:AC65229 X155:X65229 P160 E155:E194 L198:L65229 G198:G65229 P195 O198:S65229 E198:E65229">
    <cfRule type="cellIs" dxfId="147" priority="154" stopIfTrue="1" operator="equal">
      <formula>"欄なし"</formula>
    </cfRule>
  </conditionalFormatting>
  <conditionalFormatting sqref="O1:T1 V1 X1 AC1 G1 E1 L1">
    <cfRule type="cellIs" dxfId="146" priority="153" stopIfTrue="1" operator="equal">
      <formula>"欄なし"</formula>
    </cfRule>
  </conditionalFormatting>
  <conditionalFormatting sqref="AM1 AO1 AT1">
    <cfRule type="cellIs" dxfId="145" priority="152" stopIfTrue="1" operator="equal">
      <formula>"欄なし"</formula>
    </cfRule>
  </conditionalFormatting>
  <conditionalFormatting sqref="L120 AC120 X120 G3:G44 G105 E3:E44 E105 L105 O3:S44 O105:S105 AT3:AT44 AT105 AO3:AO44 AO105 L110 L86:L103 G86:G103 E86:E103 O86:S103 AO86:AO103 AT86:AT103 L3:L84 G46:G84 E46:E84 O46:S84 AO46:AO84 AT46:AT84">
    <cfRule type="cellIs" dxfId="144" priority="151" stopIfTrue="1" operator="equal">
      <formula>"欄なし"</formula>
    </cfRule>
  </conditionalFormatting>
  <conditionalFormatting sqref="G2 E2 L2 O2:S2">
    <cfRule type="cellIs" dxfId="143" priority="150" stopIfTrue="1" operator="equal">
      <formula>"欄なし"</formula>
    </cfRule>
  </conditionalFormatting>
  <conditionalFormatting sqref="AT2 AO2">
    <cfRule type="cellIs" dxfId="142" priority="149" stopIfTrue="1" operator="equal">
      <formula>"欄なし"</formula>
    </cfRule>
  </conditionalFormatting>
  <conditionalFormatting sqref="G85 E85 L85 O85:S85">
    <cfRule type="cellIs" dxfId="141" priority="148" stopIfTrue="1" operator="equal">
      <formula>"欄なし"</formula>
    </cfRule>
  </conditionalFormatting>
  <conditionalFormatting sqref="AO85 AT85">
    <cfRule type="cellIs" dxfId="140" priority="147" stopIfTrue="1" operator="equal">
      <formula>"欄なし"</formula>
    </cfRule>
  </conditionalFormatting>
  <conditionalFormatting sqref="G104 E104 L104 O104:S104">
    <cfRule type="cellIs" dxfId="139" priority="146" stopIfTrue="1" operator="equal">
      <formula>"欄なし"</formula>
    </cfRule>
  </conditionalFormatting>
  <conditionalFormatting sqref="AT104 AO104">
    <cfRule type="cellIs" dxfId="138" priority="145" stopIfTrue="1" operator="equal">
      <formula>"欄なし"</formula>
    </cfRule>
  </conditionalFormatting>
  <conditionalFormatting sqref="G106 E106 L106 O106:S106 AT106 AO106">
    <cfRule type="cellIs" dxfId="137" priority="144" stopIfTrue="1" operator="equal">
      <formula>"欄なし"</formula>
    </cfRule>
  </conditionalFormatting>
  <conditionalFormatting sqref="G107 E107 L107 O107:S107 AT107 AO107">
    <cfRule type="cellIs" dxfId="136" priority="143" stopIfTrue="1" operator="equal">
      <formula>"欄なし"</formula>
    </cfRule>
  </conditionalFormatting>
  <conditionalFormatting sqref="G108 E108 L108 O108:S108 AT108 AO108">
    <cfRule type="cellIs" dxfId="135" priority="142" stopIfTrue="1" operator="equal">
      <formula>"欄なし"</formula>
    </cfRule>
  </conditionalFormatting>
  <conditionalFormatting sqref="G109 E109 L109 O109:S109 AT109 AO109">
    <cfRule type="cellIs" dxfId="134" priority="141" stopIfTrue="1" operator="equal">
      <formula>"欄なし"</formula>
    </cfRule>
  </conditionalFormatting>
  <conditionalFormatting sqref="G110 E110 O110:S110 AT110 AO110">
    <cfRule type="cellIs" dxfId="133" priority="140" stopIfTrue="1" operator="equal">
      <formula>"欄なし"</formula>
    </cfRule>
  </conditionalFormatting>
  <conditionalFormatting sqref="AT45">
    <cfRule type="cellIs" dxfId="132" priority="136" stopIfTrue="1" operator="equal">
      <formula>"欄なし"</formula>
    </cfRule>
  </conditionalFormatting>
  <conditionalFormatting sqref="G45 E45">
    <cfRule type="cellIs" dxfId="131" priority="139" stopIfTrue="1" operator="equal">
      <formula>"欄なし"</formula>
    </cfRule>
  </conditionalFormatting>
  <conditionalFormatting sqref="O45:S45">
    <cfRule type="cellIs" dxfId="130" priority="138" stopIfTrue="1" operator="equal">
      <formula>"欄なし"</formula>
    </cfRule>
  </conditionalFormatting>
  <conditionalFormatting sqref="AO45">
    <cfRule type="cellIs" dxfId="129" priority="137" stopIfTrue="1" operator="equal">
      <formula>"欄なし"</formula>
    </cfRule>
  </conditionalFormatting>
  <conditionalFormatting sqref="G111 E111 L111 O111:S111">
    <cfRule type="cellIs" dxfId="128" priority="135" stopIfTrue="1" operator="equal">
      <formula>"欄なし"</formula>
    </cfRule>
  </conditionalFormatting>
  <conditionalFormatting sqref="AO111 AT111">
    <cfRule type="cellIs" dxfId="127" priority="134" stopIfTrue="1" operator="equal">
      <formula>"欄なし"</formula>
    </cfRule>
  </conditionalFormatting>
  <conditionalFormatting sqref="G112 E112 L112 O112:S112">
    <cfRule type="cellIs" dxfId="126" priority="133" stopIfTrue="1" operator="equal">
      <formula>"欄なし"</formula>
    </cfRule>
  </conditionalFormatting>
  <conditionalFormatting sqref="AO112 AT112">
    <cfRule type="cellIs" dxfId="125" priority="132" stopIfTrue="1" operator="equal">
      <formula>"欄なし"</formula>
    </cfRule>
  </conditionalFormatting>
  <conditionalFormatting sqref="G113 E113 L113 AT113 AO113 O113:S113 O119:S119 AO119 AT119 L119">
    <cfRule type="cellIs" dxfId="124" priority="131" stopIfTrue="1" operator="equal">
      <formula>"欄なし"</formula>
    </cfRule>
  </conditionalFormatting>
  <conditionalFormatting sqref="E120">
    <cfRule type="cellIs" dxfId="123" priority="130" stopIfTrue="1" operator="equal">
      <formula>"欄なし"</formula>
    </cfRule>
  </conditionalFormatting>
  <conditionalFormatting sqref="F120">
    <cfRule type="cellIs" dxfId="122" priority="129" stopIfTrue="1" operator="equal">
      <formula>"欄なし"</formula>
    </cfRule>
  </conditionalFormatting>
  <conditionalFormatting sqref="G120">
    <cfRule type="cellIs" dxfId="121" priority="128" stopIfTrue="1" operator="equal">
      <formula>"欄なし"</formula>
    </cfRule>
  </conditionalFormatting>
  <conditionalFormatting sqref="H120">
    <cfRule type="cellIs" dxfId="120" priority="127" stopIfTrue="1" operator="equal">
      <formula>"欄なし"</formula>
    </cfRule>
  </conditionalFormatting>
  <conditionalFormatting sqref="O120:S120">
    <cfRule type="cellIs" dxfId="119" priority="126" stopIfTrue="1" operator="equal">
      <formula>"欄なし"</formula>
    </cfRule>
  </conditionalFormatting>
  <conditionalFormatting sqref="E119">
    <cfRule type="cellIs" dxfId="118" priority="125" stopIfTrue="1" operator="equal">
      <formula>"欄なし"</formula>
    </cfRule>
  </conditionalFormatting>
  <conditionalFormatting sqref="F119">
    <cfRule type="cellIs" dxfId="117" priority="124" stopIfTrue="1" operator="equal">
      <formula>"欄なし"</formula>
    </cfRule>
  </conditionalFormatting>
  <conditionalFormatting sqref="G119">
    <cfRule type="cellIs" dxfId="116" priority="123" stopIfTrue="1" operator="equal">
      <formula>"欄なし"</formula>
    </cfRule>
  </conditionalFormatting>
  <conditionalFormatting sqref="H119">
    <cfRule type="cellIs" dxfId="115" priority="122" stopIfTrue="1" operator="equal">
      <formula>"欄なし"</formula>
    </cfRule>
  </conditionalFormatting>
  <conditionalFormatting sqref="G114 E114 L114 AT114 AO114 O114:S114">
    <cfRule type="cellIs" dxfId="114" priority="121" stopIfTrue="1" operator="equal">
      <formula>"欄なし"</formula>
    </cfRule>
  </conditionalFormatting>
  <conditionalFormatting sqref="G115 E115 L115 AT115 AO115 O115:S115">
    <cfRule type="cellIs" dxfId="113" priority="120" stopIfTrue="1" operator="equal">
      <formula>"欄なし"</formula>
    </cfRule>
  </conditionalFormatting>
  <conditionalFormatting sqref="G116 E116 L116 AT116 AO116 O116:S116">
    <cfRule type="cellIs" dxfId="112" priority="119" stopIfTrue="1" operator="equal">
      <formula>"欄なし"</formula>
    </cfRule>
  </conditionalFormatting>
  <conditionalFormatting sqref="G117 E117 L117 O117:S117">
    <cfRule type="cellIs" dxfId="111" priority="118" stopIfTrue="1" operator="equal">
      <formula>"欄なし"</formula>
    </cfRule>
  </conditionalFormatting>
  <conditionalFormatting sqref="AT117 AO117">
    <cfRule type="cellIs" dxfId="110" priority="117" stopIfTrue="1" operator="equal">
      <formula>"欄なし"</formula>
    </cfRule>
  </conditionalFormatting>
  <conditionalFormatting sqref="G118 E118 L118 O118:S118">
    <cfRule type="cellIs" dxfId="109" priority="116" stopIfTrue="1" operator="equal">
      <formula>"欄なし"</formula>
    </cfRule>
  </conditionalFormatting>
  <conditionalFormatting sqref="AT118 AO118">
    <cfRule type="cellIs" dxfId="108" priority="115" stopIfTrue="1" operator="equal">
      <formula>"欄なし"</formula>
    </cfRule>
  </conditionalFormatting>
  <conditionalFormatting sqref="L121 AC121 X121">
    <cfRule type="cellIs" dxfId="107" priority="114" stopIfTrue="1" operator="equal">
      <formula>"欄なし"</formula>
    </cfRule>
  </conditionalFormatting>
  <conditionalFormatting sqref="E121">
    <cfRule type="cellIs" dxfId="106" priority="113" stopIfTrue="1" operator="equal">
      <formula>"欄なし"</formula>
    </cfRule>
  </conditionalFormatting>
  <conditionalFormatting sqref="F121">
    <cfRule type="cellIs" dxfId="105" priority="112" stopIfTrue="1" operator="equal">
      <formula>"欄なし"</formula>
    </cfRule>
  </conditionalFormatting>
  <conditionalFormatting sqref="G121">
    <cfRule type="cellIs" dxfId="104" priority="111" stopIfTrue="1" operator="equal">
      <formula>"欄なし"</formula>
    </cfRule>
  </conditionalFormatting>
  <conditionalFormatting sqref="H121">
    <cfRule type="cellIs" dxfId="103" priority="110" stopIfTrue="1" operator="equal">
      <formula>"欄なし"</formula>
    </cfRule>
  </conditionalFormatting>
  <conditionalFormatting sqref="O121:S121">
    <cfRule type="cellIs" dxfId="102" priority="109" stopIfTrue="1" operator="equal">
      <formula>"欄なし"</formula>
    </cfRule>
  </conditionalFormatting>
  <conditionalFormatting sqref="O123:S123 AO123 AT123 L123">
    <cfRule type="cellIs" dxfId="101" priority="108" stopIfTrue="1" operator="equal">
      <formula>"欄なし"</formula>
    </cfRule>
  </conditionalFormatting>
  <conditionalFormatting sqref="E123">
    <cfRule type="cellIs" dxfId="100" priority="107" stopIfTrue="1" operator="equal">
      <formula>"欄なし"</formula>
    </cfRule>
  </conditionalFormatting>
  <conditionalFormatting sqref="F123">
    <cfRule type="cellIs" dxfId="99" priority="106" stopIfTrue="1" operator="equal">
      <formula>"欄なし"</formula>
    </cfRule>
  </conditionalFormatting>
  <conditionalFormatting sqref="G123">
    <cfRule type="cellIs" dxfId="98" priority="105" stopIfTrue="1" operator="equal">
      <formula>"欄なし"</formula>
    </cfRule>
  </conditionalFormatting>
  <conditionalFormatting sqref="H123">
    <cfRule type="cellIs" dxfId="97" priority="104" stopIfTrue="1" operator="equal">
      <formula>"欄なし"</formula>
    </cfRule>
  </conditionalFormatting>
  <conditionalFormatting sqref="G124 E124 O124:S124 X124 AC124 L124">
    <cfRule type="cellIs" dxfId="96" priority="103" stopIfTrue="1" operator="equal">
      <formula>"欄なし"</formula>
    </cfRule>
  </conditionalFormatting>
  <conditionalFormatting sqref="G125 E125">
    <cfRule type="cellIs" dxfId="95" priority="102" stopIfTrue="1" operator="equal">
      <formula>"欄なし"</formula>
    </cfRule>
  </conditionalFormatting>
  <conditionalFormatting sqref="O125 L125">
    <cfRule type="cellIs" dxfId="94" priority="101" stopIfTrue="1" operator="equal">
      <formula>"欄なし"</formula>
    </cfRule>
  </conditionalFormatting>
  <conditionalFormatting sqref="Q125:S125">
    <cfRule type="cellIs" dxfId="93" priority="100" stopIfTrue="1" operator="equal">
      <formula>"欄なし"</formula>
    </cfRule>
  </conditionalFormatting>
  <conditionalFormatting sqref="L129:L130 AC129:AC130 X129:X130 G130 G136:G140 E136:E140 X136:X140 AC136:AC140 L136:L140">
    <cfRule type="cellIs" dxfId="92" priority="99" stopIfTrue="1" operator="equal">
      <formula>"欄なし"</formula>
    </cfRule>
  </conditionalFormatting>
  <conditionalFormatting sqref="Q129:S130 Q136:S140">
    <cfRule type="cellIs" dxfId="91" priority="96" stopIfTrue="1" operator="equal">
      <formula>"欄なし"</formula>
    </cfRule>
  </conditionalFormatting>
  <conditionalFormatting sqref="P129:P130 P136:P140">
    <cfRule type="cellIs" dxfId="90" priority="98" stopIfTrue="1" operator="equal">
      <formula>"欄なし"</formula>
    </cfRule>
  </conditionalFormatting>
  <conditionalFormatting sqref="O129:O130 O136:O140">
    <cfRule type="cellIs" dxfId="89" priority="97" stopIfTrue="1" operator="equal">
      <formula>"欄なし"</formula>
    </cfRule>
  </conditionalFormatting>
  <conditionalFormatting sqref="L131:L135 AC131:AC135 X131:X135 G131:G135 E131:E135">
    <cfRule type="cellIs" dxfId="88" priority="95" stopIfTrue="1" operator="equal">
      <formula>"欄なし"</formula>
    </cfRule>
  </conditionalFormatting>
  <conditionalFormatting sqref="Q131:S135">
    <cfRule type="cellIs" dxfId="87" priority="92" stopIfTrue="1" operator="equal">
      <formula>"欄なし"</formula>
    </cfRule>
  </conditionalFormatting>
  <conditionalFormatting sqref="P131:P135">
    <cfRule type="cellIs" dxfId="86" priority="94" stopIfTrue="1" operator="equal">
      <formula>"欄なし"</formula>
    </cfRule>
  </conditionalFormatting>
  <conditionalFormatting sqref="O131:O135">
    <cfRule type="cellIs" dxfId="85" priority="93" stopIfTrue="1" operator="equal">
      <formula>"欄なし"</formula>
    </cfRule>
  </conditionalFormatting>
  <conditionalFormatting sqref="O146">
    <cfRule type="cellIs" dxfId="84" priority="85" stopIfTrue="1" operator="equal">
      <formula>"欄なし"</formula>
    </cfRule>
  </conditionalFormatting>
  <conditionalFormatting sqref="G146 E146 X146 AC146 L146">
    <cfRule type="cellIs" dxfId="83" priority="87" stopIfTrue="1" operator="equal">
      <formula>"欄なし"</formula>
    </cfRule>
  </conditionalFormatting>
  <conditionalFormatting sqref="P146">
    <cfRule type="cellIs" dxfId="82" priority="86" stopIfTrue="1" operator="equal">
      <formula>"欄なし"</formula>
    </cfRule>
  </conditionalFormatting>
  <conditionalFormatting sqref="Q146:S146">
    <cfRule type="cellIs" dxfId="81" priority="84" stopIfTrue="1" operator="equal">
      <formula>"欄なし"</formula>
    </cfRule>
  </conditionalFormatting>
  <conditionalFormatting sqref="L147 E147 G147 X147 AC147 P147 P155 P163 P169 P178 P187">
    <cfRule type="cellIs" dxfId="80" priority="83" stopIfTrue="1" operator="equal">
      <formula>"欄なし"</formula>
    </cfRule>
  </conditionalFormatting>
  <conditionalFormatting sqref="Q147:S147 Q155:S155 Q163:S163 Q169:S169 Q178:S178 Q187:S187">
    <cfRule type="cellIs" dxfId="79" priority="82" stopIfTrue="1" operator="equal">
      <formula>"欄なし"</formula>
    </cfRule>
  </conditionalFormatting>
  <conditionalFormatting sqref="O147 O155 O163 O169 O178 O187">
    <cfRule type="cellIs" dxfId="78" priority="81" stopIfTrue="1" operator="equal">
      <formula>"欄なし"</formula>
    </cfRule>
  </conditionalFormatting>
  <conditionalFormatting sqref="G148 E148 L148 O148:S148 O156:S156 O164:S164 O170:S170 O179:S179 O188:S188">
    <cfRule type="cellIs" dxfId="77" priority="80" stopIfTrue="1" operator="equal">
      <formula>"欄なし"</formula>
    </cfRule>
  </conditionalFormatting>
  <conditionalFormatting sqref="G149 E149 L149 O149:S149 O152 O157:S157 O165:S165 O160 O171:S171 O180:S180 O189:S189">
    <cfRule type="cellIs" dxfId="76" priority="79" stopIfTrue="1" operator="equal">
      <formula>"欄なし"</formula>
    </cfRule>
  </conditionalFormatting>
  <conditionalFormatting sqref="AT149 AO149">
    <cfRule type="cellIs" dxfId="75" priority="78" stopIfTrue="1" operator="equal">
      <formula>"欄なし"</formula>
    </cfRule>
  </conditionalFormatting>
  <conditionalFormatting sqref="L126:L128 AC126:AC128 X126:X128 G126:G128 E126:E128">
    <cfRule type="cellIs" dxfId="74" priority="77" stopIfTrue="1" operator="equal">
      <formula>"欄なし"</formula>
    </cfRule>
  </conditionalFormatting>
  <conditionalFormatting sqref="Q126:S128">
    <cfRule type="cellIs" dxfId="73" priority="74" stopIfTrue="1" operator="equal">
      <formula>"欄なし"</formula>
    </cfRule>
  </conditionalFormatting>
  <conditionalFormatting sqref="P126:P128">
    <cfRule type="cellIs" dxfId="72" priority="76" stopIfTrue="1" operator="equal">
      <formula>"欄なし"</formula>
    </cfRule>
  </conditionalFormatting>
  <conditionalFormatting sqref="O126:O128">
    <cfRule type="cellIs" dxfId="71" priority="75" stopIfTrue="1" operator="equal">
      <formula>"欄なし"</formula>
    </cfRule>
  </conditionalFormatting>
  <conditionalFormatting sqref="F126">
    <cfRule type="cellIs" dxfId="70" priority="73" stopIfTrue="1" operator="equal">
      <formula>"欄なし"</formula>
    </cfRule>
  </conditionalFormatting>
  <conditionalFormatting sqref="F127">
    <cfRule type="cellIs" dxfId="69" priority="72" stopIfTrue="1" operator="equal">
      <formula>"欄なし"</formula>
    </cfRule>
  </conditionalFormatting>
  <conditionalFormatting sqref="F128">
    <cfRule type="cellIs" dxfId="68" priority="71" stopIfTrue="1" operator="equal">
      <formula>"欄なし"</formula>
    </cfRule>
  </conditionalFormatting>
  <conditionalFormatting sqref="L141 G141">
    <cfRule type="cellIs" dxfId="67" priority="70" stopIfTrue="1" operator="equal">
      <formula>"欄なし"</formula>
    </cfRule>
  </conditionalFormatting>
  <conditionalFormatting sqref="Q141:S141">
    <cfRule type="cellIs" dxfId="66" priority="67" stopIfTrue="1" operator="equal">
      <formula>"欄なし"</formula>
    </cfRule>
  </conditionalFormatting>
  <conditionalFormatting sqref="P141">
    <cfRule type="cellIs" dxfId="65" priority="69" stopIfTrue="1" operator="equal">
      <formula>"欄なし"</formula>
    </cfRule>
  </conditionalFormatting>
  <conditionalFormatting sqref="O141">
    <cfRule type="cellIs" dxfId="64" priority="68" stopIfTrue="1" operator="equal">
      <formula>"欄なし"</formula>
    </cfRule>
  </conditionalFormatting>
  <conditionalFormatting sqref="AC142 X142 P142">
    <cfRule type="cellIs" dxfId="63" priority="66" stopIfTrue="1" operator="equal">
      <formula>"欄なし"</formula>
    </cfRule>
  </conditionalFormatting>
  <conditionalFormatting sqref="G142 E142">
    <cfRule type="cellIs" dxfId="62" priority="65" stopIfTrue="1" operator="equal">
      <formula>"欄なし"</formula>
    </cfRule>
  </conditionalFormatting>
  <conditionalFormatting sqref="O142 L142">
    <cfRule type="cellIs" dxfId="61" priority="64" stopIfTrue="1" operator="equal">
      <formula>"欄なし"</formula>
    </cfRule>
  </conditionalFormatting>
  <conditionalFormatting sqref="Q142:S142">
    <cfRule type="cellIs" dxfId="60" priority="63" stopIfTrue="1" operator="equal">
      <formula>"欄なし"</formula>
    </cfRule>
  </conditionalFormatting>
  <conditionalFormatting sqref="L150 X150 AC150 P150 P158 P166 P172 P175 P184 P181 P190 P193">
    <cfRule type="cellIs" dxfId="59" priority="62" stopIfTrue="1" operator="equal">
      <formula>"欄なし"</formula>
    </cfRule>
  </conditionalFormatting>
  <conditionalFormatting sqref="E150">
    <cfRule type="cellIs" dxfId="58" priority="61" stopIfTrue="1" operator="equal">
      <formula>"欄なし"</formula>
    </cfRule>
  </conditionalFormatting>
  <conditionalFormatting sqref="F150">
    <cfRule type="cellIs" dxfId="57" priority="60" stopIfTrue="1" operator="equal">
      <formula>"欄なし"</formula>
    </cfRule>
  </conditionalFormatting>
  <conditionalFormatting sqref="G150">
    <cfRule type="cellIs" dxfId="56" priority="59" stopIfTrue="1" operator="equal">
      <formula>"欄なし"</formula>
    </cfRule>
  </conditionalFormatting>
  <conditionalFormatting sqref="O150 O158 O166 O172 O175 O184 O181 O190 O193">
    <cfRule type="cellIs" dxfId="55" priority="58" stopIfTrue="1" operator="equal">
      <formula>"欄なし"</formula>
    </cfRule>
  </conditionalFormatting>
  <conditionalFormatting sqref="Q150:S150 Q158:S158 Q166:S166 Q172:S172 Q175:S175 Q184:S184 Q181:S181 Q190:S190 Q193:S193">
    <cfRule type="cellIs" dxfId="54" priority="57" stopIfTrue="1" operator="equal">
      <formula>"欄なし"</formula>
    </cfRule>
  </conditionalFormatting>
  <conditionalFormatting sqref="O151 O159">
    <cfRule type="cellIs" dxfId="53" priority="54" stopIfTrue="1" operator="equal">
      <formula>"欄なし"</formula>
    </cfRule>
  </conditionalFormatting>
  <conditionalFormatting sqref="G151 E151 X151 AC151 L151">
    <cfRule type="cellIs" dxfId="52" priority="56" stopIfTrue="1" operator="equal">
      <formula>"欄なし"</formula>
    </cfRule>
  </conditionalFormatting>
  <conditionalFormatting sqref="P151 P159">
    <cfRule type="cellIs" dxfId="51" priority="55" stopIfTrue="1" operator="equal">
      <formula>"欄なし"</formula>
    </cfRule>
  </conditionalFormatting>
  <conditionalFormatting sqref="Q151:S151 Q159:S159">
    <cfRule type="cellIs" dxfId="50" priority="53" stopIfTrue="1" operator="equal">
      <formula>"欄なし"</formula>
    </cfRule>
  </conditionalFormatting>
  <conditionalFormatting sqref="Q152:S152 Q160:S160">
    <cfRule type="cellIs" dxfId="49" priority="52" stopIfTrue="1" operator="equal">
      <formula>"欄なし"</formula>
    </cfRule>
  </conditionalFormatting>
  <conditionalFormatting sqref="L153">
    <cfRule type="cellIs" dxfId="48" priority="51" stopIfTrue="1" operator="equal">
      <formula>"欄なし"</formula>
    </cfRule>
  </conditionalFormatting>
  <conditionalFormatting sqref="E153">
    <cfRule type="cellIs" dxfId="47" priority="50" stopIfTrue="1" operator="equal">
      <formula>"欄なし"</formula>
    </cfRule>
  </conditionalFormatting>
  <conditionalFormatting sqref="F153">
    <cfRule type="cellIs" dxfId="46" priority="49" stopIfTrue="1" operator="equal">
      <formula>"欄なし"</formula>
    </cfRule>
  </conditionalFormatting>
  <conditionalFormatting sqref="G153">
    <cfRule type="cellIs" dxfId="45" priority="48" stopIfTrue="1" operator="equal">
      <formula>"欄なし"</formula>
    </cfRule>
  </conditionalFormatting>
  <conditionalFormatting sqref="P153 P161 P167 P173 P176 P185 P182 P191">
    <cfRule type="cellIs" dxfId="44" priority="47" stopIfTrue="1" operator="equal">
      <formula>"欄なし"</formula>
    </cfRule>
  </conditionalFormatting>
  <conditionalFormatting sqref="O153 O161 O167 O173 O176 O185 O182 O191">
    <cfRule type="cellIs" dxfId="43" priority="46" stopIfTrue="1" operator="equal">
      <formula>"欄なし"</formula>
    </cfRule>
  </conditionalFormatting>
  <conditionalFormatting sqref="Q153:S153 Q161:S161 Q167:S167 Q173:S173 Q176:S176 Q185:S185 Q182:S182 Q191:S191">
    <cfRule type="cellIs" dxfId="42" priority="45" stopIfTrue="1" operator="equal">
      <formula>"欄なし"</formula>
    </cfRule>
  </conditionalFormatting>
  <conditionalFormatting sqref="AC154 X154 P154 P162 P168 P174 P177 P186 P183 P192">
    <cfRule type="cellIs" dxfId="41" priority="44" stopIfTrue="1" operator="equal">
      <formula>"欄なし"</formula>
    </cfRule>
  </conditionalFormatting>
  <conditionalFormatting sqref="E154 G154:G193">
    <cfRule type="cellIs" dxfId="40" priority="43" stopIfTrue="1" operator="equal">
      <formula>"欄なし"</formula>
    </cfRule>
  </conditionalFormatting>
  <conditionalFormatting sqref="O154 L154 O162 O168 O174 O177 O186 O183 O192">
    <cfRule type="cellIs" dxfId="39" priority="42" stopIfTrue="1" operator="equal">
      <formula>"欄なし"</formula>
    </cfRule>
  </conditionalFormatting>
  <conditionalFormatting sqref="Q154:S154 Q162:S162 Q168:S168 Q174:S174 Q177:S177 Q186:S186 Q183:S183 Q192:S192">
    <cfRule type="cellIs" dxfId="38" priority="41" stopIfTrue="1" operator="equal">
      <formula>"欄なし"</formula>
    </cfRule>
  </conditionalFormatting>
  <conditionalFormatting sqref="F155">
    <cfRule type="cellIs" dxfId="37" priority="40" stopIfTrue="1" operator="equal">
      <formula>"欄なし"</formula>
    </cfRule>
  </conditionalFormatting>
  <conditionalFormatting sqref="F156">
    <cfRule type="cellIs" dxfId="36" priority="39" stopIfTrue="1" operator="equal">
      <formula>"欄なし"</formula>
    </cfRule>
  </conditionalFormatting>
  <conditionalFormatting sqref="F157">
    <cfRule type="cellIs" dxfId="35" priority="38" stopIfTrue="1" operator="equal">
      <formula>"欄なし"</formula>
    </cfRule>
  </conditionalFormatting>
  <conditionalFormatting sqref="F158">
    <cfRule type="cellIs" dxfId="34" priority="37" stopIfTrue="1" operator="equal">
      <formula>"欄なし"</formula>
    </cfRule>
  </conditionalFormatting>
  <conditionalFormatting sqref="F159">
    <cfRule type="cellIs" dxfId="33" priority="36" stopIfTrue="1" operator="equal">
      <formula>"欄なし"</formula>
    </cfRule>
  </conditionalFormatting>
  <conditionalFormatting sqref="F160">
    <cfRule type="cellIs" dxfId="32" priority="35" stopIfTrue="1" operator="equal">
      <formula>"欄なし"</formula>
    </cfRule>
  </conditionalFormatting>
  <conditionalFormatting sqref="F161">
    <cfRule type="cellIs" dxfId="31" priority="34" stopIfTrue="1" operator="equal">
      <formula>"欄なし"</formula>
    </cfRule>
  </conditionalFormatting>
  <conditionalFormatting sqref="F162">
    <cfRule type="cellIs" dxfId="30" priority="33" stopIfTrue="1" operator="equal">
      <formula>"欄なし"</formula>
    </cfRule>
  </conditionalFormatting>
  <conditionalFormatting sqref="F163">
    <cfRule type="cellIs" dxfId="29" priority="32" stopIfTrue="1" operator="equal">
      <formula>"欄なし"</formula>
    </cfRule>
  </conditionalFormatting>
  <conditionalFormatting sqref="F164">
    <cfRule type="cellIs" dxfId="28" priority="31" stopIfTrue="1" operator="equal">
      <formula>"欄なし"</formula>
    </cfRule>
  </conditionalFormatting>
  <conditionalFormatting sqref="F165:F166">
    <cfRule type="cellIs" dxfId="27" priority="30" stopIfTrue="1" operator="equal">
      <formula>"欄なし"</formula>
    </cfRule>
  </conditionalFormatting>
  <conditionalFormatting sqref="F167">
    <cfRule type="cellIs" dxfId="26" priority="29" stopIfTrue="1" operator="equal">
      <formula>"欄なし"</formula>
    </cfRule>
  </conditionalFormatting>
  <conditionalFormatting sqref="F168:F169">
    <cfRule type="cellIs" dxfId="25" priority="28" stopIfTrue="1" operator="equal">
      <formula>"欄なし"</formula>
    </cfRule>
  </conditionalFormatting>
  <conditionalFormatting sqref="F170">
    <cfRule type="cellIs" dxfId="24" priority="27" stopIfTrue="1" operator="equal">
      <formula>"欄なし"</formula>
    </cfRule>
  </conditionalFormatting>
  <conditionalFormatting sqref="F173">
    <cfRule type="cellIs" dxfId="23" priority="26" stopIfTrue="1" operator="equal">
      <formula>"欄なし"</formula>
    </cfRule>
  </conditionalFormatting>
  <conditionalFormatting sqref="F175">
    <cfRule type="cellIs" dxfId="22" priority="25" stopIfTrue="1" operator="equal">
      <formula>"欄なし"</formula>
    </cfRule>
  </conditionalFormatting>
  <conditionalFormatting sqref="F177">
    <cfRule type="cellIs" dxfId="21" priority="24" stopIfTrue="1" operator="equal">
      <formula>"欄なし"</formula>
    </cfRule>
  </conditionalFormatting>
  <conditionalFormatting sqref="F179">
    <cfRule type="cellIs" dxfId="20" priority="23" stopIfTrue="1" operator="equal">
      <formula>"欄なし"</formula>
    </cfRule>
  </conditionalFormatting>
  <conditionalFormatting sqref="F181:F182">
    <cfRule type="cellIs" dxfId="19" priority="22" stopIfTrue="1" operator="equal">
      <formula>"欄なし"</formula>
    </cfRule>
  </conditionalFormatting>
  <conditionalFormatting sqref="F184:F185">
    <cfRule type="cellIs" dxfId="18" priority="21" stopIfTrue="1" operator="equal">
      <formula>"欄なし"</formula>
    </cfRule>
  </conditionalFormatting>
  <conditionalFormatting sqref="F187:F193">
    <cfRule type="cellIs" dxfId="17" priority="20" stopIfTrue="1" operator="equal">
      <formula>"欄なし"</formula>
    </cfRule>
  </conditionalFormatting>
  <conditionalFormatting sqref="G129 E129">
    <cfRule type="cellIs" dxfId="16" priority="19" stopIfTrue="1" operator="equal">
      <formula>"欄なし"</formula>
    </cfRule>
  </conditionalFormatting>
  <conditionalFormatting sqref="AO129">
    <cfRule type="cellIs" dxfId="15" priority="18" stopIfTrue="1" operator="equal">
      <formula>"欄なし"</formula>
    </cfRule>
  </conditionalFormatting>
  <conditionalFormatting sqref="AT129">
    <cfRule type="cellIs" dxfId="14" priority="17" stopIfTrue="1" operator="equal">
      <formula>"欄なし"</formula>
    </cfRule>
  </conditionalFormatting>
  <conditionalFormatting sqref="E195">
    <cfRule type="cellIs" dxfId="13" priority="16" stopIfTrue="1" operator="equal">
      <formula>"欄なし"</formula>
    </cfRule>
  </conditionalFormatting>
  <conditionalFormatting sqref="F195">
    <cfRule type="cellIs" dxfId="12" priority="15" stopIfTrue="1" operator="equal">
      <formula>"欄なし"</formula>
    </cfRule>
  </conditionalFormatting>
  <conditionalFormatting sqref="L195">
    <cfRule type="cellIs" dxfId="11" priority="14" stopIfTrue="1" operator="equal">
      <formula>"欄なし"</formula>
    </cfRule>
  </conditionalFormatting>
  <conditionalFormatting sqref="G195">
    <cfRule type="cellIs" dxfId="10" priority="13" stopIfTrue="1" operator="equal">
      <formula>"欄なし"</formula>
    </cfRule>
  </conditionalFormatting>
  <conditionalFormatting sqref="O195">
    <cfRule type="cellIs" dxfId="9" priority="12" stopIfTrue="1" operator="equal">
      <formula>"欄なし"</formula>
    </cfRule>
  </conditionalFormatting>
  <conditionalFormatting sqref="Q195:S195">
    <cfRule type="cellIs" dxfId="8" priority="11" stopIfTrue="1" operator="equal">
      <formula>"欄なし"</formula>
    </cfRule>
  </conditionalFormatting>
  <conditionalFormatting sqref="P196:P197">
    <cfRule type="cellIs" dxfId="7" priority="10" stopIfTrue="1" operator="equal">
      <formula>"欄なし"</formula>
    </cfRule>
  </conditionalFormatting>
  <conditionalFormatting sqref="E196:E197 G196:G197">
    <cfRule type="cellIs" dxfId="6" priority="9" stopIfTrue="1" operator="equal">
      <formula>"欄なし"</formula>
    </cfRule>
  </conditionalFormatting>
  <conditionalFormatting sqref="O196:O197 L196:L197">
    <cfRule type="cellIs" dxfId="5" priority="8" stopIfTrue="1" operator="equal">
      <formula>"欄なし"</formula>
    </cfRule>
  </conditionalFormatting>
  <conditionalFormatting sqref="Q196:S196">
    <cfRule type="cellIs" dxfId="4" priority="7" stopIfTrue="1" operator="equal">
      <formula>"欄なし"</formula>
    </cfRule>
  </conditionalFormatting>
  <conditionalFormatting sqref="E130">
    <cfRule type="cellIs" dxfId="3" priority="4" stopIfTrue="1" operator="equal">
      <formula>"欄なし"</formula>
    </cfRule>
  </conditionalFormatting>
  <conditionalFormatting sqref="F130">
    <cfRule type="cellIs" dxfId="2" priority="3" stopIfTrue="1" operator="equal">
      <formula>"欄なし"</formula>
    </cfRule>
  </conditionalFormatting>
  <conditionalFormatting sqref="Q197:S197">
    <cfRule type="cellIs" dxfId="1" priority="2" stopIfTrue="1" operator="equal">
      <formula>"欄なし"</formula>
    </cfRule>
  </conditionalFormatting>
  <conditionalFormatting sqref="AT197 AO197">
    <cfRule type="cellIs" dxfId="0" priority="1" stopIfTrue="1" operator="equal">
      <formula>"欄なし"</formula>
    </cfRule>
  </conditionalFormatting>
  <dataValidations count="8">
    <dataValidation type="list" allowBlank="1" showInputMessage="1" showErrorMessage="1" sqref="H119:H121 X120:X122 AO123 H123 AO2:AO119 AO149 X142:X147 X124:X140 X150:X65229 AO129 G1:G1048576 AO197" xr:uid="{136ABEA9-D3C6-49D6-88B4-D8249B075F73}">
      <formula1>"カラー,モノクロ, なし"</formula1>
    </dataValidation>
    <dataValidation type="list" allowBlank="1" showInputMessage="1" showErrorMessage="1" sqref="H122 Y120:Y122 AP123 AP2:AP119 H1:H118 AP149 Y142:Y147 Y124:Y140 Y150:Y65229 AP129 H124:H1048576 AP197" xr:uid="{0087D4E0-BFF8-4FDE-A649-4A97A16616D7}">
      <formula1>"カラー, モノクロ"</formula1>
    </dataValidation>
    <dataValidation type="list" allowBlank="1" showInputMessage="1" showErrorMessage="1" sqref="K117:K118 K21:K112 K122 K124:K125 K1:K19 K141:K149 K129 K154:K158 K160 K162:K165 K151:K152 K167:K194 K196:K1048576" xr:uid="{0DB73982-7635-41F2-B26A-1279C02A63C7}">
      <formula1>"ペラ, 二つ折り, 中綴じ, くるみ（無線綴じ）, ステープル止め（止め位置は特記事項参照）"</formula1>
    </dataValidation>
    <dataValidation type="list" allowBlank="1" showInputMessage="1" showErrorMessage="1" sqref="K113:K116 K123 K119:K121 K20 K153 K150 K126:K128 K130:K140 K195" xr:uid="{3E4A581C-935D-4D90-AC21-890998A6AB1A}">
      <formula1>"ペラ, 二つ折り, 三つ折り, 中綴じ, くるみ（無線綴じ）, ステープル止め（止め位置は特記事項参照）"</formula1>
    </dataValidation>
    <dataValidation type="list" allowBlank="1" showInputMessage="1" showErrorMessage="1" sqref="T1:T65229 R1:R65229" xr:uid="{B22C2CF8-C8EC-4405-B9CC-9362A7B0A34F}">
      <formula1>"有, 無"</formula1>
    </dataValidation>
    <dataValidation type="list" allowBlank="1" showInputMessage="1" showErrorMessage="1" sqref="Q1:Q1048576" xr:uid="{CD56499F-C6E2-4D45-8D4B-E3953C3DEFB9}">
      <formula1>"カタログ, 資材マニュアル, 成績表, テキスト/教材関連, カラー一般, モノクロ一般"</formula1>
    </dataValidation>
    <dataValidation type="list" allowBlank="1" showInputMessage="1" showErrorMessage="1" sqref="M1:M1048576" xr:uid="{368BF7D4-5A92-4E3C-9AE4-422952BDCE58}">
      <formula1>"有（特記事項参照）, 無,無※"</formula1>
    </dataValidation>
    <dataValidation type="list" allowBlank="1" showInputMessage="1" showErrorMessage="1" sqref="K159 K161 K166" xr:uid="{6A536E8C-971A-4754-9EB2-750D5AE26BBC}">
      <formula1>"ペラ, 二つ折り, 中綴じ, くるみ（無線綴じ）, ステープル止め（止め位置は特記事項参照）,中綴じ(短辺とじ）"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AA0F2-56CA-4A25-A57C-5EA855E56F3B}">
  <sheetPr codeName="Sheet20">
    <tabColor rgb="FF92D050"/>
  </sheetPr>
  <dimension ref="A1:D20"/>
  <sheetViews>
    <sheetView workbookViewId="0">
      <selection activeCell="G42" sqref="G42"/>
    </sheetView>
  </sheetViews>
  <sheetFormatPr defaultColWidth="9" defaultRowHeight="13.5" x14ac:dyDescent="0.15"/>
  <cols>
    <col min="1" max="2" width="9" style="150"/>
    <col min="3" max="3" width="9" style="145"/>
    <col min="4" max="4" width="14.25" style="145" customWidth="1"/>
    <col min="5" max="16384" width="9" style="145"/>
  </cols>
  <sheetData>
    <row r="1" spans="1:4" x14ac:dyDescent="0.15">
      <c r="A1" s="225" t="s">
        <v>1108</v>
      </c>
      <c r="B1" s="225"/>
      <c r="C1" s="226" t="s">
        <v>1109</v>
      </c>
      <c r="D1" s="227" t="s">
        <v>1113</v>
      </c>
    </row>
    <row r="2" spans="1:4" x14ac:dyDescent="0.15">
      <c r="A2" s="146" t="s">
        <v>1110</v>
      </c>
      <c r="B2" s="146" t="s">
        <v>1111</v>
      </c>
      <c r="C2" s="226"/>
      <c r="D2" s="226"/>
    </row>
    <row r="3" spans="1:4" x14ac:dyDescent="0.15">
      <c r="A3" s="147">
        <v>201445</v>
      </c>
      <c r="B3" s="147">
        <v>201476</v>
      </c>
      <c r="C3" s="148"/>
      <c r="D3" s="149">
        <v>4</v>
      </c>
    </row>
    <row r="4" spans="1:4" x14ac:dyDescent="0.15">
      <c r="A4" s="151">
        <v>201429</v>
      </c>
      <c r="B4" s="151">
        <v>201429</v>
      </c>
      <c r="C4" s="148"/>
      <c r="D4" s="149">
        <v>4</v>
      </c>
    </row>
    <row r="5" spans="1:4" x14ac:dyDescent="0.15">
      <c r="A5" s="147">
        <v>201442</v>
      </c>
      <c r="B5" s="147">
        <v>201442</v>
      </c>
      <c r="C5" s="148"/>
      <c r="D5" s="149">
        <v>4</v>
      </c>
    </row>
    <row r="6" spans="1:4" x14ac:dyDescent="0.15">
      <c r="A6" s="147"/>
      <c r="B6" s="147"/>
      <c r="C6" s="149"/>
      <c r="D6" s="149"/>
    </row>
    <row r="7" spans="1:4" x14ac:dyDescent="0.15">
      <c r="A7" s="147"/>
      <c r="B7" s="147"/>
      <c r="C7" s="149"/>
      <c r="D7" s="149"/>
    </row>
    <row r="8" spans="1:4" x14ac:dyDescent="0.15">
      <c r="A8" s="147"/>
      <c r="B8" s="147"/>
      <c r="C8" s="149"/>
      <c r="D8" s="149"/>
    </row>
    <row r="9" spans="1:4" x14ac:dyDescent="0.15">
      <c r="A9" s="147"/>
      <c r="B9" s="147"/>
      <c r="C9" s="149"/>
      <c r="D9" s="149"/>
    </row>
    <row r="10" spans="1:4" x14ac:dyDescent="0.15">
      <c r="A10" s="147"/>
      <c r="B10" s="147"/>
      <c r="C10" s="149"/>
      <c r="D10" s="149"/>
    </row>
    <row r="11" spans="1:4" x14ac:dyDescent="0.15">
      <c r="A11" s="147"/>
      <c r="B11" s="147"/>
      <c r="C11" s="149"/>
      <c r="D11" s="149"/>
    </row>
    <row r="12" spans="1:4" x14ac:dyDescent="0.15">
      <c r="A12" s="147"/>
      <c r="B12" s="147"/>
      <c r="C12" s="149"/>
      <c r="D12" s="149"/>
    </row>
    <row r="13" spans="1:4" x14ac:dyDescent="0.15">
      <c r="A13" s="147"/>
      <c r="B13" s="147"/>
      <c r="C13" s="149"/>
      <c r="D13" s="149"/>
    </row>
    <row r="14" spans="1:4" x14ac:dyDescent="0.15">
      <c r="A14" s="147"/>
      <c r="B14" s="147"/>
      <c r="C14" s="149"/>
      <c r="D14" s="149"/>
    </row>
    <row r="15" spans="1:4" x14ac:dyDescent="0.15">
      <c r="A15" s="147"/>
      <c r="B15" s="147"/>
      <c r="C15" s="149"/>
      <c r="D15" s="149"/>
    </row>
    <row r="16" spans="1:4" x14ac:dyDescent="0.15">
      <c r="A16" s="147"/>
      <c r="B16" s="147"/>
      <c r="C16" s="149"/>
      <c r="D16" s="149"/>
    </row>
    <row r="17" spans="1:4" x14ac:dyDescent="0.15">
      <c r="A17" s="147"/>
      <c r="B17" s="147"/>
      <c r="C17" s="149"/>
      <c r="D17" s="149"/>
    </row>
    <row r="18" spans="1:4" x14ac:dyDescent="0.15">
      <c r="A18" s="147"/>
      <c r="B18" s="147"/>
      <c r="C18" s="149"/>
      <c r="D18" s="149"/>
    </row>
    <row r="19" spans="1:4" x14ac:dyDescent="0.15">
      <c r="A19" s="147"/>
      <c r="B19" s="147"/>
      <c r="C19" s="149"/>
      <c r="D19" s="149"/>
    </row>
    <row r="20" spans="1:4" x14ac:dyDescent="0.15">
      <c r="A20" s="147"/>
      <c r="B20" s="147"/>
      <c r="C20" s="149"/>
      <c r="D20" s="149"/>
    </row>
  </sheetData>
  <mergeCells count="3">
    <mergeCell ref="A1:B1"/>
    <mergeCell ref="C1:C2"/>
    <mergeCell ref="D1:D2"/>
  </mergeCells>
  <phoneticPr fontId="1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1:F23"/>
  <sheetViews>
    <sheetView showGridLines="0" workbookViewId="0">
      <selection activeCell="B26" sqref="B26"/>
    </sheetView>
  </sheetViews>
  <sheetFormatPr defaultColWidth="9" defaultRowHeight="13.5" x14ac:dyDescent="0.15"/>
  <cols>
    <col min="1" max="1" width="28.625" style="37" customWidth="1"/>
    <col min="2" max="2" width="58" style="37" bestFit="1" customWidth="1"/>
    <col min="3" max="3" width="14.375" style="37" bestFit="1" customWidth="1"/>
    <col min="4" max="4" width="11.5" style="37" bestFit="1" customWidth="1"/>
    <col min="5" max="5" width="26.75" style="37" bestFit="1" customWidth="1"/>
    <col min="6" max="6" width="32.75" style="37" bestFit="1" customWidth="1"/>
    <col min="7" max="16384" width="9" style="37"/>
  </cols>
  <sheetData>
    <row r="1" spans="1:6" x14ac:dyDescent="0.15">
      <c r="A1" s="54" t="s">
        <v>433</v>
      </c>
      <c r="B1" s="55" t="s">
        <v>435</v>
      </c>
      <c r="C1" s="55" t="s">
        <v>434</v>
      </c>
      <c r="D1" s="55" t="s">
        <v>434</v>
      </c>
      <c r="E1" s="55" t="s">
        <v>434</v>
      </c>
      <c r="F1" s="55" t="s">
        <v>435</v>
      </c>
    </row>
    <row r="2" spans="1:6" x14ac:dyDescent="0.15">
      <c r="A2" s="60" t="s">
        <v>792</v>
      </c>
      <c r="B2" s="60" t="s">
        <v>163</v>
      </c>
      <c r="C2" s="60" t="s">
        <v>164</v>
      </c>
      <c r="D2" s="60" t="s">
        <v>165</v>
      </c>
      <c r="E2" s="60" t="s">
        <v>166</v>
      </c>
      <c r="F2" s="60" t="s">
        <v>167</v>
      </c>
    </row>
    <row r="3" spans="1:6" x14ac:dyDescent="0.15">
      <c r="A3" s="56">
        <v>1</v>
      </c>
      <c r="B3" s="56" t="s">
        <v>1115</v>
      </c>
      <c r="C3" s="56" t="s">
        <v>1114</v>
      </c>
      <c r="D3" s="56" t="s">
        <v>426</v>
      </c>
      <c r="E3" s="56" t="s">
        <v>1116</v>
      </c>
      <c r="F3" s="56" t="s">
        <v>1117</v>
      </c>
    </row>
    <row r="4" spans="1:6" x14ac:dyDescent="0.15">
      <c r="A4" s="56">
        <v>2</v>
      </c>
      <c r="B4" s="56" t="s">
        <v>1154</v>
      </c>
      <c r="C4" s="56" t="s">
        <v>1114</v>
      </c>
      <c r="D4" s="56" t="s">
        <v>426</v>
      </c>
      <c r="E4" s="56" t="s">
        <v>1391</v>
      </c>
      <c r="F4" s="56" t="s">
        <v>1155</v>
      </c>
    </row>
    <row r="5" spans="1:6" x14ac:dyDescent="0.15">
      <c r="A5" s="56">
        <v>2</v>
      </c>
      <c r="B5" s="56" t="s">
        <v>430</v>
      </c>
      <c r="C5" s="56" t="s">
        <v>428</v>
      </c>
      <c r="D5" s="56" t="s">
        <v>426</v>
      </c>
      <c r="E5" s="56" t="s">
        <v>429</v>
      </c>
      <c r="F5" s="56" t="s">
        <v>431</v>
      </c>
    </row>
    <row r="6" spans="1:6" x14ac:dyDescent="0.15">
      <c r="A6" s="56">
        <v>3</v>
      </c>
      <c r="B6" s="56" t="s">
        <v>432</v>
      </c>
      <c r="C6" s="56"/>
      <c r="D6" s="56"/>
      <c r="E6" s="56"/>
      <c r="F6" s="56"/>
    </row>
    <row r="7" spans="1:6" x14ac:dyDescent="0.15">
      <c r="A7" s="56">
        <v>2</v>
      </c>
      <c r="B7" s="57" t="s">
        <v>820</v>
      </c>
      <c r="C7" s="57" t="s">
        <v>428</v>
      </c>
      <c r="D7" s="57" t="s">
        <v>426</v>
      </c>
      <c r="E7" s="57" t="s">
        <v>816</v>
      </c>
      <c r="F7" s="57" t="s">
        <v>814</v>
      </c>
    </row>
    <row r="8" spans="1:6" x14ac:dyDescent="0.15">
      <c r="A8" s="57">
        <v>2</v>
      </c>
      <c r="B8" s="57" t="s">
        <v>812</v>
      </c>
      <c r="C8" s="57" t="s">
        <v>428</v>
      </c>
      <c r="D8" s="57" t="s">
        <v>426</v>
      </c>
      <c r="E8" s="57" t="s">
        <v>813</v>
      </c>
      <c r="F8" s="57" t="s">
        <v>814</v>
      </c>
    </row>
    <row r="9" spans="1:6" x14ac:dyDescent="0.15">
      <c r="A9" s="57">
        <v>2</v>
      </c>
      <c r="B9" s="57" t="s">
        <v>1197</v>
      </c>
      <c r="C9" s="57" t="s">
        <v>428</v>
      </c>
      <c r="D9" s="57" t="s">
        <v>426</v>
      </c>
      <c r="E9" s="57" t="s">
        <v>1198</v>
      </c>
      <c r="F9" s="57" t="s">
        <v>1199</v>
      </c>
    </row>
    <row r="10" spans="1:6" x14ac:dyDescent="0.15">
      <c r="A10" s="56">
        <v>2</v>
      </c>
      <c r="B10" s="57" t="s">
        <v>815</v>
      </c>
      <c r="C10" s="57" t="s">
        <v>428</v>
      </c>
      <c r="D10" s="57" t="s">
        <v>426</v>
      </c>
      <c r="E10" s="57" t="s">
        <v>816</v>
      </c>
      <c r="F10" s="57" t="s">
        <v>814</v>
      </c>
    </row>
    <row r="11" spans="1:6" x14ac:dyDescent="0.15">
      <c r="A11" s="56">
        <v>2</v>
      </c>
      <c r="B11" s="57" t="s">
        <v>817</v>
      </c>
      <c r="C11" s="57" t="s">
        <v>428</v>
      </c>
      <c r="D11" s="57" t="s">
        <v>426</v>
      </c>
      <c r="E11" s="57" t="s">
        <v>816</v>
      </c>
      <c r="F11" s="57" t="s">
        <v>818</v>
      </c>
    </row>
    <row r="12" spans="1:6" x14ac:dyDescent="0.15">
      <c r="A12" s="56">
        <v>2</v>
      </c>
      <c r="B12" s="57" t="s">
        <v>819</v>
      </c>
      <c r="C12" s="57" t="s">
        <v>428</v>
      </c>
      <c r="D12" s="57" t="s">
        <v>426</v>
      </c>
      <c r="E12" s="57" t="s">
        <v>816</v>
      </c>
      <c r="F12" s="57" t="s">
        <v>818</v>
      </c>
    </row>
    <row r="13" spans="1:6" x14ac:dyDescent="0.15">
      <c r="A13" s="56">
        <v>2</v>
      </c>
      <c r="B13" s="83" t="s">
        <v>836</v>
      </c>
      <c r="C13" s="57" t="s">
        <v>428</v>
      </c>
      <c r="D13" s="57" t="s">
        <v>426</v>
      </c>
      <c r="E13" s="57" t="s">
        <v>816</v>
      </c>
      <c r="F13" s="57" t="s">
        <v>818</v>
      </c>
    </row>
    <row r="14" spans="1:6" x14ac:dyDescent="0.15">
      <c r="A14" s="56">
        <v>2</v>
      </c>
      <c r="B14" s="83" t="s">
        <v>1196</v>
      </c>
      <c r="C14" s="57" t="s">
        <v>428</v>
      </c>
      <c r="D14" s="57" t="s">
        <v>426</v>
      </c>
      <c r="E14" s="57" t="s">
        <v>816</v>
      </c>
      <c r="F14" s="57" t="s">
        <v>814</v>
      </c>
    </row>
    <row r="15" spans="1:6" x14ac:dyDescent="0.15">
      <c r="A15" s="56">
        <v>2</v>
      </c>
      <c r="B15" s="57" t="s">
        <v>1194</v>
      </c>
      <c r="C15" s="57" t="s">
        <v>428</v>
      </c>
      <c r="D15" s="57" t="s">
        <v>426</v>
      </c>
      <c r="E15" s="57" t="s">
        <v>429</v>
      </c>
      <c r="F15" s="57" t="s">
        <v>1195</v>
      </c>
    </row>
    <row r="16" spans="1:6" x14ac:dyDescent="0.15">
      <c r="A16" s="56">
        <v>2</v>
      </c>
      <c r="B16" s="57" t="s">
        <v>1193</v>
      </c>
      <c r="C16" s="173" t="s">
        <v>428</v>
      </c>
      <c r="D16" s="173" t="s">
        <v>426</v>
      </c>
      <c r="E16" s="173" t="s">
        <v>1191</v>
      </c>
      <c r="F16" s="173" t="s">
        <v>1192</v>
      </c>
    </row>
    <row r="17" spans="1:6" x14ac:dyDescent="0.15">
      <c r="A17" s="57">
        <v>2</v>
      </c>
      <c r="B17" s="57" t="s">
        <v>1123</v>
      </c>
      <c r="C17" s="57" t="s">
        <v>428</v>
      </c>
      <c r="D17" s="58" t="s">
        <v>426</v>
      </c>
      <c r="E17" s="58" t="s">
        <v>429</v>
      </c>
      <c r="F17" s="167" t="s">
        <v>1153</v>
      </c>
    </row>
    <row r="18" spans="1:6" x14ac:dyDescent="0.15">
      <c r="A18" s="57">
        <v>2</v>
      </c>
      <c r="B18" s="57" t="s">
        <v>1204</v>
      </c>
      <c r="C18" s="57" t="s">
        <v>428</v>
      </c>
      <c r="D18" s="58" t="s">
        <v>426</v>
      </c>
      <c r="E18" s="58" t="s">
        <v>1205</v>
      </c>
      <c r="F18" s="167" t="s">
        <v>1192</v>
      </c>
    </row>
    <row r="19" spans="1:6" x14ac:dyDescent="0.15">
      <c r="A19" s="57">
        <v>2</v>
      </c>
      <c r="B19" s="167" t="s">
        <v>1236</v>
      </c>
      <c r="C19" s="167" t="s">
        <v>1235</v>
      </c>
      <c r="D19" s="58" t="s">
        <v>426</v>
      </c>
      <c r="E19" s="167" t="s">
        <v>1234</v>
      </c>
      <c r="F19" s="167"/>
    </row>
    <row r="20" spans="1:6" x14ac:dyDescent="0.15">
      <c r="A20" s="57"/>
      <c r="B20" s="57"/>
      <c r="C20" s="57"/>
      <c r="D20" s="58"/>
      <c r="E20" s="167"/>
      <c r="F20" s="167"/>
    </row>
    <row r="21" spans="1:6" x14ac:dyDescent="0.15">
      <c r="A21" s="57"/>
      <c r="B21" s="57"/>
      <c r="C21" s="57"/>
      <c r="D21" s="58"/>
      <c r="E21" s="58"/>
      <c r="F21" s="167"/>
    </row>
    <row r="22" spans="1:6" x14ac:dyDescent="0.15">
      <c r="A22" s="57"/>
      <c r="B22" s="57"/>
      <c r="C22" s="59"/>
      <c r="D22" s="57"/>
      <c r="E22" s="57"/>
      <c r="F22" s="57"/>
    </row>
    <row r="23" spans="1:6" x14ac:dyDescent="0.15">
      <c r="C23" s="44"/>
    </row>
  </sheetData>
  <phoneticPr fontId="10"/>
  <dataValidations count="1">
    <dataValidation type="list" allowBlank="1" showInputMessage="1" showErrorMessage="1" sqref="B1:F1" xr:uid="{00000000-0002-0000-0600-000000000000}">
      <formula1>"　,○"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92D050"/>
  </sheetPr>
  <dimension ref="A2:C9"/>
  <sheetViews>
    <sheetView showGridLines="0" workbookViewId="0">
      <selection activeCell="C16" sqref="C16"/>
    </sheetView>
  </sheetViews>
  <sheetFormatPr defaultColWidth="9" defaultRowHeight="13.5" x14ac:dyDescent="0.15"/>
  <cols>
    <col min="1" max="1" width="46.375" bestFit="1" customWidth="1"/>
    <col min="2" max="2" width="44.625" bestFit="1" customWidth="1"/>
  </cols>
  <sheetData>
    <row r="2" spans="1:3" x14ac:dyDescent="0.15">
      <c r="A2" s="77" t="s">
        <v>794</v>
      </c>
      <c r="B2" s="77" t="s">
        <v>793</v>
      </c>
    </row>
    <row r="3" spans="1:3" x14ac:dyDescent="0.15">
      <c r="A3" s="78" t="s">
        <v>690</v>
      </c>
      <c r="B3" s="79" t="s">
        <v>867</v>
      </c>
      <c r="C3" t="s">
        <v>845</v>
      </c>
    </row>
    <row r="4" spans="1:3" x14ac:dyDescent="0.15">
      <c r="A4" s="78" t="s">
        <v>691</v>
      </c>
      <c r="B4" s="79" t="s">
        <v>1586</v>
      </c>
    </row>
    <row r="5" spans="1:3" x14ac:dyDescent="0.15">
      <c r="A5" s="78" t="s">
        <v>692</v>
      </c>
      <c r="B5" s="79" t="s">
        <v>1650</v>
      </c>
    </row>
    <row r="6" spans="1:3" x14ac:dyDescent="0.15">
      <c r="A6" s="78" t="s">
        <v>693</v>
      </c>
      <c r="B6" s="79" t="s">
        <v>868</v>
      </c>
    </row>
    <row r="7" spans="1:3" x14ac:dyDescent="0.15">
      <c r="A7" s="78" t="s">
        <v>782</v>
      </c>
      <c r="B7" s="79" t="s">
        <v>869</v>
      </c>
    </row>
    <row r="8" spans="1:3" x14ac:dyDescent="0.15">
      <c r="A8" s="78" t="s">
        <v>783</v>
      </c>
      <c r="B8" s="79" t="s">
        <v>870</v>
      </c>
    </row>
    <row r="9" spans="1:3" x14ac:dyDescent="0.15">
      <c r="A9" s="78" t="s">
        <v>837</v>
      </c>
      <c r="B9" s="43" t="s">
        <v>873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F56A9-3C1A-49F8-8580-ADE29932A6BB}">
  <sheetPr codeName="Sheet19">
    <tabColor rgb="FF92D050"/>
  </sheetPr>
  <dimension ref="A1:V14"/>
  <sheetViews>
    <sheetView showGridLines="0" workbookViewId="0">
      <selection activeCell="C37" sqref="C37"/>
    </sheetView>
  </sheetViews>
  <sheetFormatPr defaultColWidth="9" defaultRowHeight="13.5" x14ac:dyDescent="0.15"/>
  <cols>
    <col min="3" max="3" width="37.25" customWidth="1"/>
    <col min="4" max="4" width="7.5" style="154" bestFit="1" customWidth="1"/>
    <col min="5" max="8" width="6" style="154" bestFit="1" customWidth="1"/>
    <col min="9" max="22" width="6" style="154" customWidth="1"/>
    <col min="23" max="16384" width="9" style="154"/>
  </cols>
  <sheetData>
    <row r="1" spans="1:22" ht="18" customHeight="1" x14ac:dyDescent="0.15">
      <c r="A1" s="152"/>
      <c r="B1" s="153" t="s">
        <v>835</v>
      </c>
      <c r="C1" s="153" t="s">
        <v>829</v>
      </c>
      <c r="D1" s="228" t="s">
        <v>715</v>
      </c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30"/>
    </row>
    <row r="2" spans="1:22" ht="18" customHeight="1" x14ac:dyDescent="0.15">
      <c r="A2" s="42" t="s">
        <v>1112</v>
      </c>
      <c r="B2" s="43">
        <v>830</v>
      </c>
      <c r="C2" s="155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</row>
    <row r="3" spans="1:22" ht="18" customHeight="1" x14ac:dyDescent="0.15">
      <c r="A3" s="42" t="s">
        <v>832</v>
      </c>
      <c r="B3" s="43">
        <v>830</v>
      </c>
      <c r="C3" s="43" t="s">
        <v>1200</v>
      </c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</row>
    <row r="4" spans="1:22" ht="18" customHeight="1" x14ac:dyDescent="0.15">
      <c r="A4" s="42" t="s">
        <v>833</v>
      </c>
      <c r="B4" s="43">
        <v>980</v>
      </c>
      <c r="C4" s="155"/>
      <c r="D4" s="156">
        <v>126960</v>
      </c>
      <c r="E4" s="156">
        <v>201132</v>
      </c>
      <c r="F4" s="156">
        <v>200968</v>
      </c>
      <c r="G4" s="156">
        <v>201444</v>
      </c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</row>
    <row r="5" spans="1:22" ht="18" customHeight="1" x14ac:dyDescent="0.15">
      <c r="A5" s="42" t="s">
        <v>834</v>
      </c>
      <c r="B5" s="43">
        <v>1500</v>
      </c>
      <c r="C5" s="155"/>
      <c r="D5" s="156">
        <v>201443</v>
      </c>
      <c r="E5" s="156">
        <v>201445</v>
      </c>
      <c r="F5" s="156">
        <v>201461</v>
      </c>
      <c r="G5" s="156">
        <v>201450</v>
      </c>
      <c r="H5" s="156">
        <v>201466</v>
      </c>
      <c r="I5" s="156">
        <v>201454</v>
      </c>
      <c r="J5" s="156">
        <v>201470</v>
      </c>
      <c r="K5" s="156">
        <v>201457</v>
      </c>
      <c r="L5" s="156">
        <v>201473</v>
      </c>
      <c r="M5" s="156">
        <v>201460</v>
      </c>
      <c r="N5" s="156">
        <v>201476</v>
      </c>
      <c r="O5" s="156">
        <v>201484</v>
      </c>
      <c r="P5" s="156">
        <v>201488</v>
      </c>
      <c r="Q5" s="156"/>
      <c r="R5" s="156"/>
      <c r="S5" s="156"/>
      <c r="T5" s="156"/>
      <c r="U5" s="156"/>
      <c r="V5" s="156"/>
    </row>
    <row r="6" spans="1:22" x14ac:dyDescent="0.15">
      <c r="A6" s="42"/>
      <c r="B6" s="43"/>
      <c r="C6" s="43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</row>
    <row r="7" spans="1:22" x14ac:dyDescent="0.15">
      <c r="A7" s="42"/>
      <c r="B7" s="43"/>
      <c r="C7" s="43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</row>
    <row r="8" spans="1:22" x14ac:dyDescent="0.15">
      <c r="A8" s="42"/>
      <c r="B8" s="43"/>
      <c r="C8" s="43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</row>
    <row r="9" spans="1:22" x14ac:dyDescent="0.15">
      <c r="A9" s="42"/>
      <c r="B9" s="43"/>
      <c r="C9" s="43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</row>
    <row r="10" spans="1:22" x14ac:dyDescent="0.15">
      <c r="A10" s="42"/>
      <c r="B10" s="43"/>
      <c r="C10" s="43"/>
      <c r="D10" s="156"/>
      <c r="E10" s="156"/>
      <c r="F10" s="156"/>
      <c r="G10" s="156"/>
      <c r="H10" s="156"/>
      <c r="I10" s="156"/>
      <c r="J10" s="156"/>
      <c r="K10" s="156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</row>
    <row r="11" spans="1:22" x14ac:dyDescent="0.15">
      <c r="A11" s="42"/>
      <c r="B11" s="43"/>
      <c r="C11" s="43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</row>
    <row r="12" spans="1:22" x14ac:dyDescent="0.15">
      <c r="A12" s="42"/>
      <c r="B12" s="43"/>
      <c r="C12" s="43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</row>
    <row r="13" spans="1:22" x14ac:dyDescent="0.15">
      <c r="A13" s="42"/>
      <c r="B13" s="43"/>
      <c r="C13" s="43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</row>
    <row r="14" spans="1:22" x14ac:dyDescent="0.15">
      <c r="A14" s="42"/>
      <c r="B14" s="43"/>
      <c r="C14" s="43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</row>
  </sheetData>
  <sheetProtection formatCells="0"/>
  <mergeCells count="1">
    <mergeCell ref="D1:V1"/>
  </mergeCells>
  <phoneticPr fontId="1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92D050"/>
  </sheetPr>
  <dimension ref="A1:EM9"/>
  <sheetViews>
    <sheetView showGridLines="0" workbookViewId="0">
      <selection activeCell="I22" sqref="I22"/>
    </sheetView>
  </sheetViews>
  <sheetFormatPr defaultRowHeight="13.5" x14ac:dyDescent="0.15"/>
  <cols>
    <col min="1" max="1" width="6.125" bestFit="1" customWidth="1"/>
    <col min="3" max="3" width="9.75" customWidth="1"/>
    <col min="4" max="4" width="7.125" bestFit="1" customWidth="1"/>
    <col min="5" max="5" width="5.25" bestFit="1" customWidth="1"/>
    <col min="6" max="6" width="8.375" bestFit="1" customWidth="1"/>
    <col min="7" max="7" width="8.875" bestFit="1" customWidth="1"/>
    <col min="8" max="8" width="7.125" bestFit="1" customWidth="1"/>
    <col min="9" max="9" width="16" bestFit="1" customWidth="1"/>
    <col min="10" max="10" width="11.875" bestFit="1" customWidth="1"/>
    <col min="11" max="11" width="12.375" bestFit="1" customWidth="1"/>
    <col min="13" max="13" width="15.125" bestFit="1" customWidth="1"/>
    <col min="14" max="16" width="12.125" bestFit="1" customWidth="1"/>
    <col min="17" max="18" width="15.125" bestFit="1" customWidth="1"/>
    <col min="20" max="20" width="11" bestFit="1" customWidth="1"/>
    <col min="21" max="21" width="9.875" bestFit="1" customWidth="1"/>
    <col min="22" max="22" width="7.125" bestFit="1" customWidth="1"/>
    <col min="24" max="25" width="5.25" bestFit="1" customWidth="1"/>
    <col min="27" max="27" width="7.125" bestFit="1" customWidth="1"/>
    <col min="28" max="28" width="11.125" bestFit="1" customWidth="1"/>
    <col min="29" max="29" width="17.75" bestFit="1" customWidth="1"/>
    <col min="30" max="30" width="24" bestFit="1" customWidth="1"/>
    <col min="31" max="33" width="21" bestFit="1" customWidth="1"/>
    <col min="34" max="35" width="24" bestFit="1" customWidth="1"/>
    <col min="36" max="44" width="11.25" bestFit="1" customWidth="1"/>
    <col min="45" max="45" width="12.375" bestFit="1" customWidth="1"/>
    <col min="46" max="46" width="13" bestFit="1" customWidth="1"/>
    <col min="47" max="47" width="7.125" bestFit="1" customWidth="1"/>
    <col min="49" max="49" width="9.875" bestFit="1" customWidth="1"/>
    <col min="50" max="50" width="5.25" bestFit="1" customWidth="1"/>
    <col min="51" max="51" width="9.5" bestFit="1" customWidth="1"/>
    <col min="52" max="53" width="5.25" bestFit="1" customWidth="1"/>
    <col min="54" max="54" width="11.75" bestFit="1" customWidth="1"/>
    <col min="55" max="56" width="11.125" bestFit="1" customWidth="1"/>
    <col min="57" max="57" width="18.75" bestFit="1" customWidth="1"/>
    <col min="58" max="58" width="10.375" bestFit="1" customWidth="1"/>
    <col min="59" max="59" width="16.25" bestFit="1" customWidth="1"/>
    <col min="60" max="60" width="9.625" bestFit="1" customWidth="1"/>
    <col min="61" max="61" width="12.25" bestFit="1" customWidth="1"/>
    <col min="62" max="79" width="12.125" bestFit="1" customWidth="1"/>
    <col min="80" max="81" width="13.125" bestFit="1" customWidth="1"/>
    <col min="82" max="82" width="5.25" bestFit="1" customWidth="1"/>
    <col min="83" max="83" width="14.125" bestFit="1" customWidth="1"/>
    <col min="84" max="84" width="11.125" bestFit="1" customWidth="1"/>
    <col min="85" max="85" width="13.125" bestFit="1" customWidth="1"/>
    <col min="86" max="86" width="19.5" bestFit="1" customWidth="1"/>
    <col min="87" max="87" width="21.125" bestFit="1" customWidth="1"/>
    <col min="88" max="88" width="9.625" bestFit="1" customWidth="1"/>
    <col min="89" max="89" width="9.25" bestFit="1" customWidth="1"/>
    <col min="90" max="90" width="9.625" bestFit="1" customWidth="1"/>
    <col min="91" max="91" width="9.25" bestFit="1" customWidth="1"/>
    <col min="92" max="92" width="9.625" bestFit="1" customWidth="1"/>
    <col min="93" max="93" width="9.25" bestFit="1" customWidth="1"/>
    <col min="94" max="94" width="9.625" bestFit="1" customWidth="1"/>
    <col min="95" max="95" width="9.25" bestFit="1" customWidth="1"/>
    <col min="96" max="96" width="9.625" bestFit="1" customWidth="1"/>
    <col min="97" max="97" width="9.25" bestFit="1" customWidth="1"/>
    <col min="98" max="98" width="14" bestFit="1" customWidth="1"/>
    <col min="99" max="99" width="9.625" bestFit="1" customWidth="1"/>
    <col min="100" max="100" width="6" bestFit="1" customWidth="1"/>
    <col min="101" max="103" width="6.25" bestFit="1" customWidth="1"/>
    <col min="104" max="104" width="9.625" bestFit="1" customWidth="1"/>
    <col min="105" max="105" width="6" bestFit="1" customWidth="1"/>
    <col min="106" max="108" width="6.25" bestFit="1" customWidth="1"/>
    <col min="109" max="109" width="9.625" bestFit="1" customWidth="1"/>
    <col min="110" max="110" width="6" bestFit="1" customWidth="1"/>
    <col min="111" max="113" width="6.25" bestFit="1" customWidth="1"/>
    <col min="114" max="114" width="9.625" bestFit="1" customWidth="1"/>
    <col min="115" max="115" width="6" bestFit="1" customWidth="1"/>
    <col min="116" max="118" width="6.25" bestFit="1" customWidth="1"/>
    <col min="119" max="119" width="9.625" bestFit="1" customWidth="1"/>
    <col min="120" max="120" width="6" bestFit="1" customWidth="1"/>
    <col min="121" max="123" width="6.25" bestFit="1" customWidth="1"/>
    <col min="124" max="124" width="4.75" bestFit="1" customWidth="1"/>
    <col min="125" max="125" width="13.125" bestFit="1" customWidth="1"/>
    <col min="126" max="126" width="5.25" bestFit="1" customWidth="1"/>
    <col min="128" max="128" width="14" bestFit="1" customWidth="1"/>
    <col min="129" max="129" width="15.25" bestFit="1" customWidth="1"/>
    <col min="130" max="130" width="6.875" bestFit="1" customWidth="1"/>
    <col min="131" max="131" width="17.125" bestFit="1" customWidth="1"/>
    <col min="132" max="132" width="5.25" bestFit="1" customWidth="1"/>
    <col min="133" max="133" width="15.25" bestFit="1" customWidth="1"/>
    <col min="134" max="134" width="11.875" bestFit="1" customWidth="1"/>
    <col min="135" max="135" width="22" bestFit="1" customWidth="1"/>
    <col min="136" max="136" width="11.875" bestFit="1" customWidth="1"/>
    <col min="137" max="137" width="22" bestFit="1" customWidth="1"/>
    <col min="138" max="138" width="11.875" bestFit="1" customWidth="1"/>
    <col min="139" max="139" width="22" bestFit="1" customWidth="1"/>
    <col min="140" max="140" width="11.875" bestFit="1" customWidth="1"/>
    <col min="141" max="141" width="22" bestFit="1" customWidth="1"/>
    <col min="142" max="142" width="11.875" bestFit="1" customWidth="1"/>
    <col min="143" max="143" width="22" bestFit="1" customWidth="1"/>
  </cols>
  <sheetData>
    <row r="1" spans="1:143" x14ac:dyDescent="0.15">
      <c r="A1" s="61" t="s">
        <v>436</v>
      </c>
      <c r="B1" s="61" t="s">
        <v>161</v>
      </c>
      <c r="C1" s="61" t="s">
        <v>437</v>
      </c>
      <c r="D1" s="61" t="s">
        <v>438</v>
      </c>
      <c r="E1" s="61" t="s">
        <v>439</v>
      </c>
      <c r="F1" s="61" t="s">
        <v>440</v>
      </c>
      <c r="G1" s="61" t="s">
        <v>441</v>
      </c>
      <c r="H1" s="61" t="s">
        <v>162</v>
      </c>
      <c r="I1" s="61" t="s">
        <v>442</v>
      </c>
      <c r="J1" s="61" t="s">
        <v>443</v>
      </c>
      <c r="K1" s="61" t="s">
        <v>444</v>
      </c>
      <c r="L1" s="61" t="s">
        <v>163</v>
      </c>
      <c r="M1" s="61" t="s">
        <v>164</v>
      </c>
      <c r="N1" s="61" t="s">
        <v>165</v>
      </c>
      <c r="O1" s="61" t="s">
        <v>166</v>
      </c>
      <c r="P1" s="61" t="s">
        <v>167</v>
      </c>
      <c r="Q1" s="61" t="s">
        <v>168</v>
      </c>
      <c r="R1" s="61" t="s">
        <v>169</v>
      </c>
      <c r="S1" s="61" t="s">
        <v>445</v>
      </c>
      <c r="T1" s="61" t="s">
        <v>446</v>
      </c>
      <c r="U1" s="61" t="s">
        <v>17</v>
      </c>
      <c r="V1" s="61" t="s">
        <v>18</v>
      </c>
      <c r="W1" s="61" t="s">
        <v>170</v>
      </c>
      <c r="X1" s="61" t="s">
        <v>447</v>
      </c>
      <c r="Y1" s="61" t="s">
        <v>448</v>
      </c>
      <c r="Z1" s="61" t="s">
        <v>449</v>
      </c>
      <c r="AA1" s="61" t="s">
        <v>450</v>
      </c>
      <c r="AB1" s="61" t="s">
        <v>451</v>
      </c>
      <c r="AC1" s="61" t="s">
        <v>452</v>
      </c>
      <c r="AD1" s="61" t="s">
        <v>453</v>
      </c>
      <c r="AE1" s="61" t="s">
        <v>454</v>
      </c>
      <c r="AF1" s="61" t="s">
        <v>455</v>
      </c>
      <c r="AG1" s="61" t="s">
        <v>456</v>
      </c>
      <c r="AH1" s="61" t="s">
        <v>457</v>
      </c>
      <c r="AI1" s="61" t="s">
        <v>458</v>
      </c>
      <c r="AJ1" s="61" t="s">
        <v>459</v>
      </c>
      <c r="AK1" s="61" t="s">
        <v>460</v>
      </c>
      <c r="AL1" s="61" t="s">
        <v>461</v>
      </c>
      <c r="AM1" s="61" t="s">
        <v>462</v>
      </c>
      <c r="AN1" s="61" t="s">
        <v>463</v>
      </c>
      <c r="AO1" s="61" t="s">
        <v>464</v>
      </c>
      <c r="AP1" s="61" t="s">
        <v>465</v>
      </c>
      <c r="AQ1" s="61" t="s">
        <v>466</v>
      </c>
      <c r="AR1" s="61" t="s">
        <v>467</v>
      </c>
      <c r="AS1" s="61" t="s">
        <v>468</v>
      </c>
      <c r="AT1" s="61" t="s">
        <v>469</v>
      </c>
      <c r="AU1" s="61" t="s">
        <v>470</v>
      </c>
      <c r="AV1" s="61" t="s">
        <v>471</v>
      </c>
      <c r="AW1" s="61" t="s">
        <v>472</v>
      </c>
      <c r="AX1" s="61" t="s">
        <v>473</v>
      </c>
      <c r="AY1" s="61" t="s">
        <v>474</v>
      </c>
      <c r="AZ1" s="61" t="s">
        <v>475</v>
      </c>
      <c r="BA1" s="61" t="s">
        <v>402</v>
      </c>
      <c r="BB1" s="61" t="s">
        <v>476</v>
      </c>
      <c r="BC1" s="61" t="s">
        <v>477</v>
      </c>
      <c r="BD1" s="61" t="s">
        <v>478</v>
      </c>
      <c r="BE1" s="61" t="s">
        <v>479</v>
      </c>
      <c r="BF1" s="61" t="s">
        <v>480</v>
      </c>
      <c r="BG1" s="61" t="s">
        <v>481</v>
      </c>
      <c r="BH1" s="61" t="s">
        <v>482</v>
      </c>
      <c r="BI1" s="61" t="s">
        <v>483</v>
      </c>
      <c r="BJ1" s="61" t="s">
        <v>484</v>
      </c>
      <c r="BK1" s="61" t="s">
        <v>485</v>
      </c>
      <c r="BL1" s="61" t="s">
        <v>486</v>
      </c>
      <c r="BM1" s="61" t="s">
        <v>487</v>
      </c>
      <c r="BN1" s="61" t="s">
        <v>488</v>
      </c>
      <c r="BO1" s="61" t="s">
        <v>489</v>
      </c>
      <c r="BP1" s="61" t="s">
        <v>490</v>
      </c>
      <c r="BQ1" s="61" t="s">
        <v>491</v>
      </c>
      <c r="BR1" s="61" t="s">
        <v>492</v>
      </c>
      <c r="BS1" s="61" t="s">
        <v>493</v>
      </c>
      <c r="BT1" s="61" t="s">
        <v>494</v>
      </c>
      <c r="BU1" s="61" t="s">
        <v>495</v>
      </c>
      <c r="BV1" s="61" t="s">
        <v>496</v>
      </c>
      <c r="BW1" s="61" t="s">
        <v>497</v>
      </c>
      <c r="BX1" s="61" t="s">
        <v>498</v>
      </c>
      <c r="BY1" s="61" t="s">
        <v>499</v>
      </c>
      <c r="BZ1" s="61" t="s">
        <v>500</v>
      </c>
      <c r="CA1" s="61" t="s">
        <v>501</v>
      </c>
      <c r="CB1" s="61" t="s">
        <v>502</v>
      </c>
      <c r="CC1" s="61" t="s">
        <v>503</v>
      </c>
      <c r="CD1" s="61" t="s">
        <v>504</v>
      </c>
      <c r="CE1" s="61" t="s">
        <v>505</v>
      </c>
      <c r="CF1" s="61" t="s">
        <v>506</v>
      </c>
      <c r="CG1" s="61" t="s">
        <v>507</v>
      </c>
      <c r="CH1" s="61" t="s">
        <v>508</v>
      </c>
      <c r="CI1" s="61" t="s">
        <v>509</v>
      </c>
      <c r="CJ1" s="61" t="s">
        <v>510</v>
      </c>
      <c r="CK1" s="61" t="s">
        <v>511</v>
      </c>
      <c r="CL1" s="61" t="s">
        <v>512</v>
      </c>
      <c r="CM1" s="61" t="s">
        <v>513</v>
      </c>
      <c r="CN1" s="61" t="s">
        <v>514</v>
      </c>
      <c r="CO1" s="61" t="s">
        <v>515</v>
      </c>
      <c r="CP1" s="61" t="s">
        <v>516</v>
      </c>
      <c r="CQ1" s="61" t="s">
        <v>517</v>
      </c>
      <c r="CR1" s="61" t="s">
        <v>518</v>
      </c>
      <c r="CS1" s="61" t="s">
        <v>519</v>
      </c>
      <c r="CT1" s="61" t="s">
        <v>520</v>
      </c>
      <c r="CU1" s="61" t="s">
        <v>510</v>
      </c>
      <c r="CV1" s="61" t="s">
        <v>521</v>
      </c>
      <c r="CW1" s="61" t="s">
        <v>522</v>
      </c>
      <c r="CX1" s="61" t="s">
        <v>523</v>
      </c>
      <c r="CY1" s="61" t="s">
        <v>524</v>
      </c>
      <c r="CZ1" s="61" t="s">
        <v>512</v>
      </c>
      <c r="DA1" s="61" t="s">
        <v>525</v>
      </c>
      <c r="DB1" s="61" t="s">
        <v>526</v>
      </c>
      <c r="DC1" s="61" t="s">
        <v>527</v>
      </c>
      <c r="DD1" s="61" t="s">
        <v>528</v>
      </c>
      <c r="DE1" s="61" t="s">
        <v>514</v>
      </c>
      <c r="DF1" s="61" t="s">
        <v>529</v>
      </c>
      <c r="DG1" s="61" t="s">
        <v>530</v>
      </c>
      <c r="DH1" s="61" t="s">
        <v>531</v>
      </c>
      <c r="DI1" s="61" t="s">
        <v>532</v>
      </c>
      <c r="DJ1" s="61" t="s">
        <v>516</v>
      </c>
      <c r="DK1" s="61" t="s">
        <v>533</v>
      </c>
      <c r="DL1" s="61" t="s">
        <v>534</v>
      </c>
      <c r="DM1" s="61" t="s">
        <v>535</v>
      </c>
      <c r="DN1" s="61" t="s">
        <v>536</v>
      </c>
      <c r="DO1" s="61" t="s">
        <v>518</v>
      </c>
      <c r="DP1" s="61" t="s">
        <v>537</v>
      </c>
      <c r="DQ1" s="61" t="s">
        <v>538</v>
      </c>
      <c r="DR1" s="61" t="s">
        <v>539</v>
      </c>
      <c r="DS1" s="61" t="s">
        <v>540</v>
      </c>
      <c r="DT1" s="61" t="s">
        <v>541</v>
      </c>
      <c r="DU1" s="61" t="s">
        <v>542</v>
      </c>
      <c r="DV1" s="61" t="s">
        <v>543</v>
      </c>
      <c r="DW1" s="61" t="s">
        <v>544</v>
      </c>
      <c r="DX1" s="61" t="s">
        <v>545</v>
      </c>
      <c r="DY1" s="61" t="s">
        <v>546</v>
      </c>
      <c r="DZ1" s="61" t="s">
        <v>547</v>
      </c>
      <c r="EA1" s="61" t="s">
        <v>548</v>
      </c>
      <c r="EB1" s="61" t="s">
        <v>549</v>
      </c>
      <c r="EC1" s="61" t="s">
        <v>550</v>
      </c>
      <c r="ED1" s="61" t="s">
        <v>551</v>
      </c>
      <c r="EE1" s="61" t="s">
        <v>552</v>
      </c>
      <c r="EF1" s="61" t="s">
        <v>553</v>
      </c>
      <c r="EG1" s="61" t="s">
        <v>554</v>
      </c>
      <c r="EH1" s="61" t="s">
        <v>555</v>
      </c>
      <c r="EI1" s="61" t="s">
        <v>556</v>
      </c>
      <c r="EJ1" s="61" t="s">
        <v>557</v>
      </c>
      <c r="EK1" s="61" t="s">
        <v>558</v>
      </c>
      <c r="EL1" s="61" t="s">
        <v>559</v>
      </c>
      <c r="EM1" s="61" t="s">
        <v>560</v>
      </c>
    </row>
    <row r="2" spans="1:143" x14ac:dyDescent="0.15">
      <c r="A2" s="43"/>
      <c r="B2" s="43"/>
      <c r="C2" s="43"/>
      <c r="D2" s="43"/>
      <c r="E2" s="43"/>
      <c r="F2" s="43"/>
      <c r="G2" s="43"/>
      <c r="H2" s="43"/>
      <c r="I2" s="43"/>
      <c r="J2" s="43" t="s">
        <v>580</v>
      </c>
      <c r="K2" s="43"/>
      <c r="L2" s="43"/>
      <c r="M2" s="43"/>
      <c r="N2" s="43"/>
      <c r="O2" s="43"/>
      <c r="P2" s="43"/>
      <c r="Q2" s="43"/>
      <c r="R2" s="43"/>
      <c r="S2" s="43"/>
      <c r="T2" s="43"/>
      <c r="U2" s="43" t="s">
        <v>17</v>
      </c>
      <c r="V2" s="43"/>
      <c r="W2" s="43" t="s">
        <v>646</v>
      </c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</row>
    <row r="3" spans="1:143" x14ac:dyDescent="0.15">
      <c r="A3" s="43"/>
      <c r="B3" s="43" t="s">
        <v>562</v>
      </c>
      <c r="C3" s="43"/>
      <c r="D3" s="43"/>
      <c r="E3" s="43"/>
      <c r="F3" s="43"/>
      <c r="G3" s="43"/>
      <c r="H3" s="43"/>
      <c r="I3" s="43"/>
      <c r="J3" s="43" t="s">
        <v>658</v>
      </c>
      <c r="K3" s="43"/>
      <c r="L3" s="43" t="s">
        <v>571</v>
      </c>
      <c r="M3" s="43" t="s">
        <v>574</v>
      </c>
      <c r="N3" s="43" t="s">
        <v>575</v>
      </c>
      <c r="O3" s="43" t="s">
        <v>576</v>
      </c>
      <c r="P3" s="43"/>
      <c r="Q3" s="43" t="s">
        <v>686</v>
      </c>
      <c r="R3" s="43"/>
      <c r="S3" s="43"/>
      <c r="T3" s="43"/>
      <c r="U3" s="43" t="s">
        <v>17</v>
      </c>
      <c r="V3" s="43" t="s">
        <v>580</v>
      </c>
      <c r="W3" s="43" t="s">
        <v>582</v>
      </c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</row>
    <row r="7" spans="1:143" x14ac:dyDescent="0.15">
      <c r="B7" s="42"/>
      <c r="C7" t="s">
        <v>687</v>
      </c>
    </row>
    <row r="8" spans="1:143" x14ac:dyDescent="0.15">
      <c r="B8" s="43"/>
      <c r="C8" t="s">
        <v>688</v>
      </c>
    </row>
    <row r="9" spans="1:143" x14ac:dyDescent="0.15">
      <c r="B9" s="43"/>
      <c r="C9" t="s">
        <v>689</v>
      </c>
    </row>
  </sheetData>
  <sheetProtection sheet="1" objects="1" scenarios="1"/>
  <phoneticPr fontId="1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CN3"/>
  <sheetViews>
    <sheetView showGridLines="0" workbookViewId="0"/>
  </sheetViews>
  <sheetFormatPr defaultRowHeight="13.5" x14ac:dyDescent="0.15"/>
  <sheetData>
    <row r="1" spans="1:92" s="40" customFormat="1" ht="12.75" x14ac:dyDescent="0.2">
      <c r="A1" s="38" t="s">
        <v>561</v>
      </c>
      <c r="B1" s="38" t="s">
        <v>562</v>
      </c>
      <c r="C1" s="38" t="s">
        <v>563</v>
      </c>
      <c r="D1" s="38" t="s">
        <v>564</v>
      </c>
      <c r="E1" s="38" t="s">
        <v>565</v>
      </c>
      <c r="F1" s="38" t="s">
        <v>566</v>
      </c>
      <c r="G1" s="38" t="s">
        <v>694</v>
      </c>
      <c r="H1" s="38" t="s">
        <v>567</v>
      </c>
      <c r="I1" s="38" t="s">
        <v>568</v>
      </c>
      <c r="J1" s="38" t="s">
        <v>569</v>
      </c>
      <c r="K1" s="38" t="s">
        <v>695</v>
      </c>
      <c r="L1" s="38" t="s">
        <v>570</v>
      </c>
      <c r="M1" s="38" t="s">
        <v>571</v>
      </c>
      <c r="N1" s="38" t="s">
        <v>572</v>
      </c>
      <c r="O1" s="38" t="s">
        <v>573</v>
      </c>
      <c r="P1" s="38" t="s">
        <v>574</v>
      </c>
      <c r="Q1" s="38" t="s">
        <v>575</v>
      </c>
      <c r="R1" s="38" t="s">
        <v>576</v>
      </c>
      <c r="S1" s="38" t="s">
        <v>577</v>
      </c>
      <c r="T1" s="38" t="s">
        <v>696</v>
      </c>
      <c r="U1" s="38" t="s">
        <v>697</v>
      </c>
      <c r="V1" s="38" t="s">
        <v>578</v>
      </c>
      <c r="W1" s="38" t="s">
        <v>579</v>
      </c>
      <c r="X1" s="38" t="s">
        <v>17</v>
      </c>
      <c r="Y1" s="38" t="s">
        <v>580</v>
      </c>
      <c r="Z1" s="38" t="s">
        <v>581</v>
      </c>
      <c r="AA1" s="39" t="s">
        <v>582</v>
      </c>
      <c r="AB1" s="38" t="s">
        <v>583</v>
      </c>
      <c r="AC1" s="38" t="s">
        <v>584</v>
      </c>
      <c r="AD1" s="39" t="s">
        <v>585</v>
      </c>
      <c r="AE1" s="38" t="s">
        <v>586</v>
      </c>
      <c r="AF1" s="38" t="s">
        <v>587</v>
      </c>
      <c r="AG1" s="38" t="s">
        <v>588</v>
      </c>
      <c r="AH1" s="38" t="s">
        <v>589</v>
      </c>
      <c r="AI1" s="38" t="s">
        <v>590</v>
      </c>
      <c r="AJ1" s="38" t="s">
        <v>591</v>
      </c>
      <c r="AK1" s="38" t="s">
        <v>698</v>
      </c>
      <c r="AL1" s="38" t="s">
        <v>699</v>
      </c>
      <c r="AM1" s="38" t="s">
        <v>592</v>
      </c>
      <c r="AN1" s="38" t="s">
        <v>700</v>
      </c>
      <c r="AO1" s="38" t="s">
        <v>701</v>
      </c>
      <c r="AP1" s="38" t="s">
        <v>702</v>
      </c>
      <c r="AQ1" s="38" t="s">
        <v>703</v>
      </c>
      <c r="AR1" s="38" t="s">
        <v>704</v>
      </c>
      <c r="AS1" s="38" t="s">
        <v>705</v>
      </c>
      <c r="AT1" s="38" t="s">
        <v>593</v>
      </c>
      <c r="AU1" s="38" t="s">
        <v>706</v>
      </c>
      <c r="AV1" s="38" t="s">
        <v>707</v>
      </c>
      <c r="AW1" s="38" t="s">
        <v>594</v>
      </c>
      <c r="AX1" s="38" t="s">
        <v>595</v>
      </c>
      <c r="AY1" s="38" t="s">
        <v>596</v>
      </c>
      <c r="AZ1" s="38" t="s">
        <v>597</v>
      </c>
      <c r="BA1" s="38" t="s">
        <v>598</v>
      </c>
      <c r="BB1" s="38" t="s">
        <v>599</v>
      </c>
      <c r="BC1" s="38" t="s">
        <v>600</v>
      </c>
      <c r="BD1" s="38" t="s">
        <v>601</v>
      </c>
      <c r="BE1" s="38" t="s">
        <v>602</v>
      </c>
      <c r="BF1" s="38" t="s">
        <v>603</v>
      </c>
      <c r="BG1" s="38" t="s">
        <v>604</v>
      </c>
      <c r="BH1" s="38" t="s">
        <v>708</v>
      </c>
      <c r="BI1" s="38" t="s">
        <v>709</v>
      </c>
      <c r="BJ1" s="38" t="s">
        <v>605</v>
      </c>
      <c r="BK1" s="38" t="s">
        <v>606</v>
      </c>
      <c r="BL1" s="38" t="s">
        <v>607</v>
      </c>
      <c r="BM1" s="38" t="s">
        <v>608</v>
      </c>
      <c r="BN1" s="38" t="s">
        <v>609</v>
      </c>
      <c r="BO1" s="38" t="s">
        <v>610</v>
      </c>
      <c r="BP1" s="38" t="s">
        <v>611</v>
      </c>
      <c r="BQ1" s="38" t="s">
        <v>612</v>
      </c>
      <c r="BR1" s="38" t="s">
        <v>613</v>
      </c>
      <c r="BS1" s="38" t="s">
        <v>614</v>
      </c>
      <c r="BT1" s="38" t="s">
        <v>615</v>
      </c>
      <c r="BU1" s="38" t="s">
        <v>616</v>
      </c>
      <c r="BV1" s="38" t="s">
        <v>617</v>
      </c>
      <c r="BW1" s="38" t="s">
        <v>618</v>
      </c>
      <c r="BX1" s="38" t="s">
        <v>619</v>
      </c>
      <c r="BY1" s="38" t="s">
        <v>620</v>
      </c>
      <c r="BZ1" s="38" t="s">
        <v>621</v>
      </c>
      <c r="CA1" s="38" t="s">
        <v>622</v>
      </c>
      <c r="CB1" s="38" t="s">
        <v>623</v>
      </c>
      <c r="CC1" s="38" t="s">
        <v>624</v>
      </c>
      <c r="CD1" s="38" t="s">
        <v>625</v>
      </c>
      <c r="CE1" s="38" t="s">
        <v>626</v>
      </c>
      <c r="CF1" s="38" t="s">
        <v>627</v>
      </c>
      <c r="CG1" s="38" t="s">
        <v>628</v>
      </c>
      <c r="CH1" s="38" t="s">
        <v>629</v>
      </c>
      <c r="CI1" s="38" t="s">
        <v>630</v>
      </c>
      <c r="CJ1" s="38" t="s">
        <v>631</v>
      </c>
      <c r="CK1" s="38" t="s">
        <v>632</v>
      </c>
      <c r="CL1" s="38" t="s">
        <v>633</v>
      </c>
      <c r="CM1" s="38" t="s">
        <v>634</v>
      </c>
      <c r="CN1" s="38" t="s">
        <v>635</v>
      </c>
    </row>
    <row r="2" spans="1:92" x14ac:dyDescent="0.1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 t="s">
        <v>805</v>
      </c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</row>
    <row r="3" spans="1:92" x14ac:dyDescent="0.1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 t="s">
        <v>806</v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</row>
  </sheetData>
  <sheetProtection sheet="1" objects="1" scenarios="1"/>
  <phoneticPr fontId="1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92D050"/>
  </sheetPr>
  <dimension ref="A1:BB3"/>
  <sheetViews>
    <sheetView showGridLines="0" workbookViewId="0"/>
  </sheetViews>
  <sheetFormatPr defaultRowHeight="13.5" x14ac:dyDescent="0.15"/>
  <sheetData>
    <row r="1" spans="1:54" s="41" customFormat="1" x14ac:dyDescent="0.15">
      <c r="A1" s="50" t="s">
        <v>636</v>
      </c>
      <c r="B1" s="50" t="s">
        <v>19</v>
      </c>
      <c r="C1" s="50" t="s">
        <v>637</v>
      </c>
      <c r="D1" s="50" t="s">
        <v>638</v>
      </c>
      <c r="E1" s="50" t="s">
        <v>639</v>
      </c>
      <c r="F1" s="50" t="s">
        <v>640</v>
      </c>
      <c r="G1" s="50" t="s">
        <v>641</v>
      </c>
      <c r="H1" s="50" t="s">
        <v>642</v>
      </c>
      <c r="I1" s="50" t="s">
        <v>17</v>
      </c>
      <c r="J1" s="50" t="s">
        <v>580</v>
      </c>
      <c r="K1" s="50" t="s">
        <v>643</v>
      </c>
      <c r="L1" s="50" t="s">
        <v>644</v>
      </c>
      <c r="M1" s="50" t="s">
        <v>645</v>
      </c>
      <c r="N1" s="50" t="s">
        <v>646</v>
      </c>
      <c r="O1" s="50" t="s">
        <v>647</v>
      </c>
      <c r="P1" s="50" t="s">
        <v>648</v>
      </c>
      <c r="Q1" s="50" t="s">
        <v>649</v>
      </c>
      <c r="R1" s="50" t="s">
        <v>650</v>
      </c>
      <c r="S1" s="50" t="s">
        <v>651</v>
      </c>
      <c r="T1" s="50" t="s">
        <v>652</v>
      </c>
      <c r="U1" s="50" t="s">
        <v>653</v>
      </c>
      <c r="V1" s="50" t="s">
        <v>589</v>
      </c>
      <c r="W1" s="50" t="s">
        <v>654</v>
      </c>
      <c r="X1" s="50" t="s">
        <v>655</v>
      </c>
      <c r="Y1" s="50" t="s">
        <v>656</v>
      </c>
      <c r="Z1" s="50" t="s">
        <v>657</v>
      </c>
      <c r="AA1" s="50" t="s">
        <v>658</v>
      </c>
      <c r="AB1" s="50" t="s">
        <v>659</v>
      </c>
      <c r="AC1" s="50" t="s">
        <v>660</v>
      </c>
      <c r="AD1" s="50" t="s">
        <v>661</v>
      </c>
      <c r="AE1" s="50" t="s">
        <v>662</v>
      </c>
      <c r="AF1" s="50" t="s">
        <v>663</v>
      </c>
      <c r="AG1" s="50" t="s">
        <v>664</v>
      </c>
      <c r="AH1" s="50" t="s">
        <v>665</v>
      </c>
      <c r="AI1" s="50" t="s">
        <v>666</v>
      </c>
      <c r="AJ1" s="50" t="s">
        <v>667</v>
      </c>
      <c r="AK1" s="50" t="s">
        <v>668</v>
      </c>
      <c r="AL1" s="50" t="s">
        <v>669</v>
      </c>
      <c r="AM1" s="50" t="s">
        <v>670</v>
      </c>
      <c r="AN1" s="50" t="s">
        <v>671</v>
      </c>
      <c r="AO1" s="50" t="s">
        <v>672</v>
      </c>
      <c r="AP1" s="50" t="s">
        <v>673</v>
      </c>
      <c r="AQ1" s="50" t="s">
        <v>674</v>
      </c>
      <c r="AR1" s="50" t="s">
        <v>675</v>
      </c>
      <c r="AS1" s="50" t="s">
        <v>676</v>
      </c>
      <c r="AT1" s="50" t="s">
        <v>677</v>
      </c>
      <c r="AU1" s="50" t="s">
        <v>678</v>
      </c>
      <c r="AV1" s="50" t="s">
        <v>679</v>
      </c>
      <c r="AW1" s="50" t="s">
        <v>680</v>
      </c>
      <c r="AX1" s="50" t="s">
        <v>681</v>
      </c>
      <c r="AY1" s="50" t="s">
        <v>682</v>
      </c>
      <c r="AZ1" s="50" t="s">
        <v>683</v>
      </c>
      <c r="BA1" s="50" t="s">
        <v>684</v>
      </c>
      <c r="BB1" s="50" t="s">
        <v>685</v>
      </c>
    </row>
    <row r="2" spans="1:54" x14ac:dyDescent="0.15">
      <c r="A2" s="51" t="s">
        <v>805</v>
      </c>
      <c r="B2" s="51" t="s">
        <v>805</v>
      </c>
      <c r="C2" s="51" t="s">
        <v>805</v>
      </c>
      <c r="D2" s="51"/>
      <c r="E2" s="51"/>
      <c r="F2" s="51" t="s">
        <v>805</v>
      </c>
      <c r="G2" s="51"/>
      <c r="H2" s="51"/>
      <c r="I2" s="51"/>
      <c r="J2" s="51"/>
      <c r="K2" s="51"/>
      <c r="L2" s="51"/>
      <c r="M2" s="51" t="s">
        <v>805</v>
      </c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</row>
    <row r="3" spans="1:54" x14ac:dyDescent="0.15">
      <c r="A3" s="51" t="s">
        <v>807</v>
      </c>
      <c r="B3" s="51" t="s">
        <v>808</v>
      </c>
      <c r="C3" s="51" t="s">
        <v>809</v>
      </c>
      <c r="D3" s="51"/>
      <c r="E3" s="51"/>
      <c r="F3" s="51" t="s">
        <v>810</v>
      </c>
      <c r="G3" s="51"/>
      <c r="H3" s="51"/>
      <c r="I3" s="51"/>
      <c r="J3" s="51"/>
      <c r="K3" s="51"/>
      <c r="L3" s="51"/>
      <c r="M3" s="51" t="s">
        <v>806</v>
      </c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</row>
  </sheetData>
  <sheetProtection sheet="1" objects="1" scenarios="1"/>
  <phoneticPr fontId="1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92D050"/>
  </sheetPr>
  <dimension ref="A1:K7"/>
  <sheetViews>
    <sheetView showGridLines="0" workbookViewId="0">
      <selection activeCell="M18" sqref="M18"/>
    </sheetView>
  </sheetViews>
  <sheetFormatPr defaultRowHeight="13.5" x14ac:dyDescent="0.15"/>
  <sheetData>
    <row r="1" spans="1:11" s="41" customFormat="1" x14ac:dyDescent="0.15">
      <c r="A1" s="82" t="s">
        <v>821</v>
      </c>
      <c r="B1" s="82" t="s">
        <v>161</v>
      </c>
      <c r="C1" s="82" t="s">
        <v>438</v>
      </c>
      <c r="D1" s="82" t="s">
        <v>162</v>
      </c>
      <c r="E1" s="82" t="s">
        <v>163</v>
      </c>
      <c r="F1" s="82" t="s">
        <v>17</v>
      </c>
      <c r="G1" s="82" t="s">
        <v>18</v>
      </c>
      <c r="H1" s="82" t="s">
        <v>170</v>
      </c>
      <c r="I1" s="82" t="s">
        <v>448</v>
      </c>
      <c r="J1" s="82" t="s">
        <v>822</v>
      </c>
      <c r="K1" s="82" t="s">
        <v>823</v>
      </c>
    </row>
    <row r="2" spans="1:11" x14ac:dyDescent="0.15">
      <c r="A2" s="51"/>
      <c r="B2" s="51" t="s">
        <v>826</v>
      </c>
      <c r="C2" s="51" t="s">
        <v>827</v>
      </c>
      <c r="D2" s="51" t="s">
        <v>828</v>
      </c>
      <c r="E2" s="51" t="s">
        <v>829</v>
      </c>
      <c r="F2" s="51" t="s">
        <v>715</v>
      </c>
      <c r="G2" s="51" t="s">
        <v>830</v>
      </c>
      <c r="H2" s="51" t="s">
        <v>831</v>
      </c>
      <c r="I2" s="51" t="s">
        <v>379</v>
      </c>
      <c r="J2" s="51"/>
      <c r="K2" s="51"/>
    </row>
    <row r="6" spans="1:11" x14ac:dyDescent="0.15">
      <c r="B6" s="82"/>
      <c r="C6" t="s">
        <v>824</v>
      </c>
    </row>
    <row r="7" spans="1:11" x14ac:dyDescent="0.15">
      <c r="B7" s="51"/>
      <c r="C7" t="s">
        <v>825</v>
      </c>
    </row>
  </sheetData>
  <sheetProtection sheet="1" objects="1" scenarios="1"/>
  <phoneticPr fontId="1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rgb="FF92D050"/>
  </sheetPr>
  <dimension ref="A1:B4"/>
  <sheetViews>
    <sheetView showGridLines="0" workbookViewId="0">
      <selection activeCell="F11" sqref="F11"/>
    </sheetView>
  </sheetViews>
  <sheetFormatPr defaultRowHeight="13.5" x14ac:dyDescent="0.15"/>
  <cols>
    <col min="1" max="1" width="11.5" bestFit="1" customWidth="1"/>
  </cols>
  <sheetData>
    <row r="1" spans="1:2" x14ac:dyDescent="0.15">
      <c r="A1" s="45" t="s">
        <v>710</v>
      </c>
      <c r="B1" s="45" t="s">
        <v>711</v>
      </c>
    </row>
    <row r="2" spans="1:2" x14ac:dyDescent="0.15">
      <c r="A2" s="43" t="s">
        <v>712</v>
      </c>
      <c r="B2" s="43">
        <v>50</v>
      </c>
    </row>
    <row r="3" spans="1:2" x14ac:dyDescent="0.15">
      <c r="A3" s="43" t="s">
        <v>713</v>
      </c>
      <c r="B3" s="43">
        <v>100</v>
      </c>
    </row>
    <row r="4" spans="1:2" x14ac:dyDescent="0.15">
      <c r="A4" s="43" t="s">
        <v>714</v>
      </c>
      <c r="B4" s="43">
        <v>1</v>
      </c>
    </row>
  </sheetData>
  <sheetProtection sheet="1" objects="1" scenarios="1"/>
  <phoneticPr fontId="1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rgb="FF92D050"/>
  </sheetPr>
  <dimension ref="A1:B28"/>
  <sheetViews>
    <sheetView showGridLines="0" workbookViewId="0">
      <selection activeCell="K22" sqref="K22"/>
    </sheetView>
  </sheetViews>
  <sheetFormatPr defaultRowHeight="13.5" x14ac:dyDescent="0.15"/>
  <cols>
    <col min="1" max="1" width="11.5" bestFit="1" customWidth="1"/>
  </cols>
  <sheetData>
    <row r="1" spans="1:2" x14ac:dyDescent="0.15">
      <c r="A1" s="45" t="s">
        <v>715</v>
      </c>
      <c r="B1" s="45" t="s">
        <v>711</v>
      </c>
    </row>
    <row r="2" spans="1:2" x14ac:dyDescent="0.15">
      <c r="A2" s="43" t="s">
        <v>838</v>
      </c>
      <c r="B2" s="43">
        <v>5</v>
      </c>
    </row>
    <row r="3" spans="1:2" x14ac:dyDescent="0.15">
      <c r="A3" s="43" t="s">
        <v>891</v>
      </c>
      <c r="B3" s="43">
        <v>10</v>
      </c>
    </row>
    <row r="4" spans="1:2" x14ac:dyDescent="0.15">
      <c r="A4" s="43" t="s">
        <v>1121</v>
      </c>
      <c r="B4" s="43">
        <v>1</v>
      </c>
    </row>
    <row r="5" spans="1:2" x14ac:dyDescent="0.15">
      <c r="A5" s="43" t="s">
        <v>1206</v>
      </c>
      <c r="B5" s="43">
        <v>10</v>
      </c>
    </row>
    <row r="6" spans="1:2" x14ac:dyDescent="0.15">
      <c r="A6" s="43" t="s">
        <v>1211</v>
      </c>
      <c r="B6" s="43">
        <v>10</v>
      </c>
    </row>
    <row r="7" spans="1:2" x14ac:dyDescent="0.15">
      <c r="A7" s="43" t="s">
        <v>1212</v>
      </c>
      <c r="B7" s="43">
        <v>10</v>
      </c>
    </row>
    <row r="8" spans="1:2" x14ac:dyDescent="0.15">
      <c r="A8" s="43" t="s">
        <v>1218</v>
      </c>
      <c r="B8" s="43">
        <v>1</v>
      </c>
    </row>
    <row r="9" spans="1:2" x14ac:dyDescent="0.15">
      <c r="A9" s="43" t="s">
        <v>1222</v>
      </c>
      <c r="B9" s="43">
        <v>10</v>
      </c>
    </row>
    <row r="10" spans="1:2" x14ac:dyDescent="0.15">
      <c r="A10" s="43" t="s">
        <v>1224</v>
      </c>
      <c r="B10" s="43">
        <v>1</v>
      </c>
    </row>
    <row r="11" spans="1:2" x14ac:dyDescent="0.15">
      <c r="A11" s="43" t="s">
        <v>1225</v>
      </c>
      <c r="B11" s="43">
        <v>1</v>
      </c>
    </row>
    <row r="12" spans="1:2" x14ac:dyDescent="0.15">
      <c r="A12" s="43" t="s">
        <v>1232</v>
      </c>
      <c r="B12" s="43">
        <v>1</v>
      </c>
    </row>
    <row r="13" spans="1:2" x14ac:dyDescent="0.15">
      <c r="A13" s="43" t="s">
        <v>1233</v>
      </c>
      <c r="B13" s="43">
        <v>1</v>
      </c>
    </row>
    <row r="14" spans="1:2" x14ac:dyDescent="0.15">
      <c r="A14" s="43" t="s">
        <v>1392</v>
      </c>
      <c r="B14" s="43">
        <v>1</v>
      </c>
    </row>
    <row r="15" spans="1:2" x14ac:dyDescent="0.15">
      <c r="A15" s="43" t="s">
        <v>1393</v>
      </c>
      <c r="B15" s="43">
        <v>25</v>
      </c>
    </row>
    <row r="16" spans="1:2" x14ac:dyDescent="0.15">
      <c r="A16" s="43" t="s">
        <v>1394</v>
      </c>
      <c r="B16" s="43">
        <v>25</v>
      </c>
    </row>
    <row r="17" spans="1:2" x14ac:dyDescent="0.15">
      <c r="A17" s="43" t="s">
        <v>1395</v>
      </c>
      <c r="B17" s="43">
        <v>25</v>
      </c>
    </row>
    <row r="18" spans="1:2" x14ac:dyDescent="0.15">
      <c r="A18" s="43" t="s">
        <v>1396</v>
      </c>
      <c r="B18" s="43">
        <v>25</v>
      </c>
    </row>
    <row r="19" spans="1:2" x14ac:dyDescent="0.15">
      <c r="A19" s="43" t="s">
        <v>1397</v>
      </c>
      <c r="B19" s="43">
        <v>25</v>
      </c>
    </row>
    <row r="20" spans="1:2" x14ac:dyDescent="0.15">
      <c r="A20" s="43" t="s">
        <v>1398</v>
      </c>
      <c r="B20" s="43">
        <v>25</v>
      </c>
    </row>
    <row r="21" spans="1:2" x14ac:dyDescent="0.15">
      <c r="A21" s="43" t="s">
        <v>1399</v>
      </c>
      <c r="B21" s="43">
        <v>25</v>
      </c>
    </row>
    <row r="22" spans="1:2" x14ac:dyDescent="0.15">
      <c r="A22" s="43" t="s">
        <v>1400</v>
      </c>
      <c r="B22" s="43">
        <v>25</v>
      </c>
    </row>
    <row r="23" spans="1:2" x14ac:dyDescent="0.15">
      <c r="A23" s="43"/>
      <c r="B23" s="43"/>
    </row>
    <row r="24" spans="1:2" x14ac:dyDescent="0.15">
      <c r="A24" s="43"/>
      <c r="B24" s="43"/>
    </row>
    <row r="25" spans="1:2" x14ac:dyDescent="0.15">
      <c r="A25" s="43"/>
      <c r="B25" s="43"/>
    </row>
    <row r="26" spans="1:2" x14ac:dyDescent="0.15">
      <c r="A26" s="43"/>
      <c r="B26" s="43"/>
    </row>
    <row r="27" spans="1:2" x14ac:dyDescent="0.15">
      <c r="A27" s="43"/>
      <c r="B27" s="43"/>
    </row>
    <row r="28" spans="1:2" x14ac:dyDescent="0.15">
      <c r="A28" s="43"/>
      <c r="B28" s="43"/>
    </row>
  </sheetData>
  <sheetProtection sheet="1" objects="1" scenarios="1"/>
  <phoneticPr fontId="1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92D050"/>
  </sheetPr>
  <dimension ref="A1:A6"/>
  <sheetViews>
    <sheetView showGridLines="0" workbookViewId="0">
      <selection activeCell="H15" sqref="H15"/>
    </sheetView>
  </sheetViews>
  <sheetFormatPr defaultRowHeight="13.5" x14ac:dyDescent="0.15"/>
  <cols>
    <col min="1" max="1" width="11.5" bestFit="1" customWidth="1"/>
  </cols>
  <sheetData>
    <row r="1" spans="1:1" x14ac:dyDescent="0.15">
      <c r="A1" s="45" t="s">
        <v>715</v>
      </c>
    </row>
    <row r="2" spans="1:1" x14ac:dyDescent="0.15">
      <c r="A2" s="43" t="s">
        <v>871</v>
      </c>
    </row>
    <row r="3" spans="1:1" x14ac:dyDescent="0.15">
      <c r="A3" s="43" t="s">
        <v>872</v>
      </c>
    </row>
    <row r="4" spans="1:1" x14ac:dyDescent="0.15">
      <c r="A4" s="43"/>
    </row>
    <row r="5" spans="1:1" x14ac:dyDescent="0.15">
      <c r="A5" s="43"/>
    </row>
    <row r="6" spans="1:1" x14ac:dyDescent="0.15">
      <c r="A6" s="43"/>
    </row>
  </sheetData>
  <phoneticPr fontId="1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rgb="FF92D050"/>
  </sheetPr>
  <dimension ref="A1:B36"/>
  <sheetViews>
    <sheetView showGridLines="0" workbookViewId="0">
      <selection activeCell="D8" sqref="D8"/>
    </sheetView>
  </sheetViews>
  <sheetFormatPr defaultRowHeight="13.5" x14ac:dyDescent="0.15"/>
  <cols>
    <col min="1" max="1" width="13" bestFit="1" customWidth="1"/>
    <col min="2" max="2" width="11.625" bestFit="1" customWidth="1"/>
  </cols>
  <sheetData>
    <row r="1" spans="1:2" x14ac:dyDescent="0.15">
      <c r="A1" s="46" t="s">
        <v>716</v>
      </c>
      <c r="B1" s="46" t="s">
        <v>717</v>
      </c>
    </row>
    <row r="2" spans="1:2" x14ac:dyDescent="0.15">
      <c r="A2" s="47" t="s">
        <v>718</v>
      </c>
      <c r="B2" s="48">
        <v>46023</v>
      </c>
    </row>
    <row r="3" spans="1:2" x14ac:dyDescent="0.15">
      <c r="A3" s="47" t="s">
        <v>719</v>
      </c>
      <c r="B3" s="48">
        <v>46034</v>
      </c>
    </row>
    <row r="4" spans="1:2" x14ac:dyDescent="0.15">
      <c r="A4" s="47" t="s">
        <v>720</v>
      </c>
      <c r="B4" s="48">
        <v>46064</v>
      </c>
    </row>
    <row r="5" spans="1:2" x14ac:dyDescent="0.15">
      <c r="A5" s="47" t="s">
        <v>733</v>
      </c>
      <c r="B5" s="48">
        <v>46076</v>
      </c>
    </row>
    <row r="6" spans="1:2" x14ac:dyDescent="0.15">
      <c r="A6" s="47" t="s">
        <v>722</v>
      </c>
      <c r="B6" s="48">
        <v>46101</v>
      </c>
    </row>
    <row r="7" spans="1:2" x14ac:dyDescent="0.15">
      <c r="A7" s="47" t="s">
        <v>723</v>
      </c>
      <c r="B7" s="48">
        <v>45776</v>
      </c>
    </row>
    <row r="8" spans="1:2" x14ac:dyDescent="0.15">
      <c r="A8" s="47" t="s">
        <v>724</v>
      </c>
      <c r="B8" s="48">
        <v>45780</v>
      </c>
    </row>
    <row r="9" spans="1:2" x14ac:dyDescent="0.15">
      <c r="A9" s="47" t="s">
        <v>725</v>
      </c>
      <c r="B9" s="48">
        <v>45781</v>
      </c>
    </row>
    <row r="10" spans="1:2" x14ac:dyDescent="0.15">
      <c r="A10" s="47" t="s">
        <v>726</v>
      </c>
      <c r="B10" s="48">
        <v>45782</v>
      </c>
    </row>
    <row r="11" spans="1:2" x14ac:dyDescent="0.15">
      <c r="A11" s="47" t="s">
        <v>721</v>
      </c>
      <c r="B11" s="48">
        <v>45783</v>
      </c>
    </row>
    <row r="12" spans="1:2" x14ac:dyDescent="0.15">
      <c r="A12" s="47" t="s">
        <v>727</v>
      </c>
      <c r="B12" s="48">
        <v>45859</v>
      </c>
    </row>
    <row r="13" spans="1:2" x14ac:dyDescent="0.15">
      <c r="A13" s="47" t="s">
        <v>728</v>
      </c>
      <c r="B13" s="48">
        <v>45880</v>
      </c>
    </row>
    <row r="14" spans="1:2" x14ac:dyDescent="0.15">
      <c r="A14" s="47" t="s">
        <v>729</v>
      </c>
      <c r="B14" s="48">
        <v>45915</v>
      </c>
    </row>
    <row r="15" spans="1:2" x14ac:dyDescent="0.15">
      <c r="A15" s="47" t="s">
        <v>730</v>
      </c>
      <c r="B15" s="48">
        <v>45923</v>
      </c>
    </row>
    <row r="16" spans="1:2" x14ac:dyDescent="0.15">
      <c r="A16" s="47" t="s">
        <v>1150</v>
      </c>
      <c r="B16" s="48">
        <v>45943</v>
      </c>
    </row>
    <row r="17" spans="1:2" x14ac:dyDescent="0.15">
      <c r="A17" s="47" t="s">
        <v>731</v>
      </c>
      <c r="B17" s="48">
        <v>45964</v>
      </c>
    </row>
    <row r="18" spans="1:2" x14ac:dyDescent="0.15">
      <c r="A18" s="47" t="s">
        <v>732</v>
      </c>
      <c r="B18" s="48">
        <v>45984</v>
      </c>
    </row>
    <row r="19" spans="1:2" x14ac:dyDescent="0.15">
      <c r="A19" s="47" t="s">
        <v>1216</v>
      </c>
      <c r="B19" s="48">
        <v>45985</v>
      </c>
    </row>
    <row r="20" spans="1:2" x14ac:dyDescent="0.15">
      <c r="A20" s="47" t="s">
        <v>811</v>
      </c>
      <c r="B20" s="48">
        <v>45881</v>
      </c>
    </row>
    <row r="21" spans="1:2" x14ac:dyDescent="0.15">
      <c r="A21" s="47" t="s">
        <v>811</v>
      </c>
      <c r="B21" s="48">
        <v>45882</v>
      </c>
    </row>
    <row r="22" spans="1:2" x14ac:dyDescent="0.15">
      <c r="A22" s="47" t="s">
        <v>811</v>
      </c>
      <c r="B22" s="48">
        <v>45883</v>
      </c>
    </row>
    <row r="23" spans="1:2" x14ac:dyDescent="0.15">
      <c r="A23" s="47" t="s">
        <v>811</v>
      </c>
      <c r="B23" s="48">
        <v>45884</v>
      </c>
    </row>
    <row r="24" spans="1:2" x14ac:dyDescent="0.15">
      <c r="A24" s="47" t="s">
        <v>811</v>
      </c>
      <c r="B24" s="48">
        <v>45885</v>
      </c>
    </row>
    <row r="25" spans="1:2" x14ac:dyDescent="0.15">
      <c r="A25" s="47" t="s">
        <v>1215</v>
      </c>
      <c r="B25" s="48">
        <v>46020</v>
      </c>
    </row>
    <row r="26" spans="1:2" x14ac:dyDescent="0.15">
      <c r="A26" s="47" t="s">
        <v>1215</v>
      </c>
      <c r="B26" s="48">
        <v>46021</v>
      </c>
    </row>
    <row r="27" spans="1:2" x14ac:dyDescent="0.15">
      <c r="A27" s="47" t="s">
        <v>1215</v>
      </c>
      <c r="B27" s="48">
        <v>46022</v>
      </c>
    </row>
    <row r="28" spans="1:2" x14ac:dyDescent="0.15">
      <c r="A28" s="47" t="s">
        <v>1215</v>
      </c>
      <c r="B28" s="48">
        <v>46024</v>
      </c>
    </row>
    <row r="29" spans="1:2" x14ac:dyDescent="0.15">
      <c r="A29" s="47"/>
      <c r="B29" s="48"/>
    </row>
    <row r="30" spans="1:2" x14ac:dyDescent="0.15">
      <c r="A30" s="47"/>
      <c r="B30" s="48"/>
    </row>
    <row r="31" spans="1:2" x14ac:dyDescent="0.15">
      <c r="A31" s="47"/>
      <c r="B31" s="48"/>
    </row>
    <row r="32" spans="1:2" x14ac:dyDescent="0.15">
      <c r="A32" s="47"/>
      <c r="B32" s="48"/>
    </row>
    <row r="33" spans="1:2" x14ac:dyDescent="0.15">
      <c r="A33" s="47"/>
      <c r="B33" s="48"/>
    </row>
    <row r="34" spans="1:2" x14ac:dyDescent="0.15">
      <c r="A34" s="47"/>
      <c r="B34" s="48"/>
    </row>
    <row r="35" spans="1:2" x14ac:dyDescent="0.15">
      <c r="A35" s="47"/>
      <c r="B35" s="48"/>
    </row>
    <row r="36" spans="1:2" x14ac:dyDescent="0.15">
      <c r="A36" s="47"/>
      <c r="B36" s="47"/>
    </row>
  </sheetData>
  <phoneticPr fontId="1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rgb="FF92D050"/>
  </sheetPr>
  <dimension ref="A1:D48"/>
  <sheetViews>
    <sheetView showGridLines="0" topLeftCell="A16" workbookViewId="0">
      <selection activeCell="G45" sqref="G45:G46"/>
    </sheetView>
  </sheetViews>
  <sheetFormatPr defaultRowHeight="13.5" x14ac:dyDescent="0.15"/>
  <cols>
    <col min="1" max="1" width="13" bestFit="1" customWidth="1"/>
    <col min="2" max="2" width="11.625" bestFit="1" customWidth="1"/>
  </cols>
  <sheetData>
    <row r="1" spans="1:2" x14ac:dyDescent="0.15">
      <c r="A1" s="46" t="s">
        <v>734</v>
      </c>
      <c r="B1" s="46" t="s">
        <v>735</v>
      </c>
    </row>
    <row r="2" spans="1:2" x14ac:dyDescent="0.15">
      <c r="A2" s="64" t="s">
        <v>736</v>
      </c>
      <c r="B2" s="65">
        <v>2</v>
      </c>
    </row>
    <row r="3" spans="1:2" x14ac:dyDescent="0.15">
      <c r="A3" s="66" t="s">
        <v>737</v>
      </c>
      <c r="B3" s="65">
        <v>1</v>
      </c>
    </row>
    <row r="4" spans="1:2" x14ac:dyDescent="0.15">
      <c r="A4" s="66" t="s">
        <v>738</v>
      </c>
      <c r="B4" s="65">
        <v>1</v>
      </c>
    </row>
    <row r="5" spans="1:2" x14ac:dyDescent="0.15">
      <c r="A5" s="66" t="s">
        <v>739</v>
      </c>
      <c r="B5" s="65">
        <v>1</v>
      </c>
    </row>
    <row r="6" spans="1:2" x14ac:dyDescent="0.15">
      <c r="A6" s="66" t="s">
        <v>740</v>
      </c>
      <c r="B6" s="65">
        <v>1</v>
      </c>
    </row>
    <row r="7" spans="1:2" x14ac:dyDescent="0.15">
      <c r="A7" s="66" t="s">
        <v>741</v>
      </c>
      <c r="B7" s="65">
        <v>1</v>
      </c>
    </row>
    <row r="8" spans="1:2" x14ac:dyDescent="0.15">
      <c r="A8" s="66" t="s">
        <v>742</v>
      </c>
      <c r="B8" s="65">
        <v>1</v>
      </c>
    </row>
    <row r="9" spans="1:2" x14ac:dyDescent="0.15">
      <c r="A9" s="67" t="s">
        <v>743</v>
      </c>
      <c r="B9" s="65">
        <v>1</v>
      </c>
    </row>
    <row r="10" spans="1:2" x14ac:dyDescent="0.15">
      <c r="A10" s="67" t="s">
        <v>744</v>
      </c>
      <c r="B10" s="65">
        <v>1</v>
      </c>
    </row>
    <row r="11" spans="1:2" x14ac:dyDescent="0.15">
      <c r="A11" s="67" t="s">
        <v>745</v>
      </c>
      <c r="B11" s="65">
        <v>1</v>
      </c>
    </row>
    <row r="12" spans="1:2" x14ac:dyDescent="0.15">
      <c r="A12" s="67" t="s">
        <v>746</v>
      </c>
      <c r="B12" s="65">
        <v>1</v>
      </c>
    </row>
    <row r="13" spans="1:2" x14ac:dyDescent="0.15">
      <c r="A13" s="67" t="s">
        <v>747</v>
      </c>
      <c r="B13" s="65">
        <v>1</v>
      </c>
    </row>
    <row r="14" spans="1:2" x14ac:dyDescent="0.15">
      <c r="A14" s="67" t="s">
        <v>426</v>
      </c>
      <c r="B14" s="65">
        <v>1</v>
      </c>
    </row>
    <row r="15" spans="1:2" x14ac:dyDescent="0.15">
      <c r="A15" s="67" t="s">
        <v>748</v>
      </c>
      <c r="B15" s="65">
        <v>1</v>
      </c>
    </row>
    <row r="16" spans="1:2" x14ac:dyDescent="0.15">
      <c r="A16" s="68" t="s">
        <v>749</v>
      </c>
      <c r="B16" s="65">
        <v>1</v>
      </c>
    </row>
    <row r="17" spans="1:4" x14ac:dyDescent="0.15">
      <c r="A17" s="68" t="s">
        <v>750</v>
      </c>
      <c r="B17" s="65">
        <v>1</v>
      </c>
    </row>
    <row r="18" spans="1:4" x14ac:dyDescent="0.15">
      <c r="A18" s="68" t="s">
        <v>751</v>
      </c>
      <c r="B18" s="65">
        <v>1</v>
      </c>
    </row>
    <row r="19" spans="1:4" x14ac:dyDescent="0.15">
      <c r="A19" s="68" t="s">
        <v>752</v>
      </c>
      <c r="B19" s="65">
        <v>1</v>
      </c>
    </row>
    <row r="20" spans="1:4" x14ac:dyDescent="0.15">
      <c r="A20" s="68" t="s">
        <v>753</v>
      </c>
      <c r="B20" s="65">
        <v>1</v>
      </c>
    </row>
    <row r="21" spans="1:4" x14ac:dyDescent="0.15">
      <c r="A21" s="68" t="s">
        <v>754</v>
      </c>
      <c r="B21" s="65">
        <v>1</v>
      </c>
    </row>
    <row r="22" spans="1:4" x14ac:dyDescent="0.15">
      <c r="A22" s="68" t="s">
        <v>755</v>
      </c>
      <c r="B22" s="65">
        <v>1</v>
      </c>
    </row>
    <row r="23" spans="1:4" x14ac:dyDescent="0.15">
      <c r="A23" s="68" t="s">
        <v>756</v>
      </c>
      <c r="B23" s="65">
        <v>1</v>
      </c>
      <c r="D23" s="49"/>
    </row>
    <row r="24" spans="1:4" x14ac:dyDescent="0.15">
      <c r="A24" s="68" t="s">
        <v>757</v>
      </c>
      <c r="B24" s="65">
        <v>1</v>
      </c>
      <c r="D24" s="49"/>
    </row>
    <row r="25" spans="1:4" x14ac:dyDescent="0.15">
      <c r="A25" s="69" t="s">
        <v>758</v>
      </c>
      <c r="B25" s="65">
        <v>1</v>
      </c>
      <c r="D25" s="49"/>
    </row>
    <row r="26" spans="1:4" x14ac:dyDescent="0.15">
      <c r="A26" s="69" t="s">
        <v>759</v>
      </c>
      <c r="B26" s="65">
        <v>1</v>
      </c>
      <c r="D26" s="49"/>
    </row>
    <row r="27" spans="1:4" x14ac:dyDescent="0.15">
      <c r="A27" s="69" t="s">
        <v>760</v>
      </c>
      <c r="B27" s="65">
        <v>1</v>
      </c>
      <c r="D27" s="49"/>
    </row>
    <row r="28" spans="1:4" x14ac:dyDescent="0.15">
      <c r="A28" s="69" t="s">
        <v>761</v>
      </c>
      <c r="B28" s="65">
        <v>1</v>
      </c>
      <c r="D28" s="49"/>
    </row>
    <row r="29" spans="1:4" x14ac:dyDescent="0.15">
      <c r="A29" s="69" t="s">
        <v>762</v>
      </c>
      <c r="B29" s="65">
        <v>1</v>
      </c>
      <c r="D29" s="49"/>
    </row>
    <row r="30" spans="1:4" x14ac:dyDescent="0.15">
      <c r="A30" s="69" t="s">
        <v>763</v>
      </c>
      <c r="B30" s="65">
        <v>1</v>
      </c>
      <c r="D30" s="49"/>
    </row>
    <row r="31" spans="1:4" x14ac:dyDescent="0.15">
      <c r="A31" s="69" t="s">
        <v>764</v>
      </c>
      <c r="B31" s="65">
        <v>1</v>
      </c>
      <c r="D31" s="49"/>
    </row>
    <row r="32" spans="1:4" x14ac:dyDescent="0.15">
      <c r="A32" s="70" t="s">
        <v>765</v>
      </c>
      <c r="B32" s="65">
        <v>2</v>
      </c>
      <c r="D32" s="49"/>
    </row>
    <row r="33" spans="1:4" x14ac:dyDescent="0.15">
      <c r="A33" s="70" t="s">
        <v>766</v>
      </c>
      <c r="B33" s="65">
        <v>2</v>
      </c>
      <c r="D33" s="49"/>
    </row>
    <row r="34" spans="1:4" x14ac:dyDescent="0.15">
      <c r="A34" s="70" t="s">
        <v>767</v>
      </c>
      <c r="B34" s="65">
        <v>2</v>
      </c>
      <c r="D34" s="49"/>
    </row>
    <row r="35" spans="1:4" x14ac:dyDescent="0.15">
      <c r="A35" s="70" t="s">
        <v>768</v>
      </c>
      <c r="B35" s="65">
        <v>2</v>
      </c>
      <c r="D35" s="49"/>
    </row>
    <row r="36" spans="1:4" x14ac:dyDescent="0.15">
      <c r="A36" s="70" t="s">
        <v>769</v>
      </c>
      <c r="B36" s="65">
        <v>2</v>
      </c>
      <c r="D36" s="49"/>
    </row>
    <row r="37" spans="1:4" x14ac:dyDescent="0.15">
      <c r="A37" s="71" t="s">
        <v>770</v>
      </c>
      <c r="B37" s="65">
        <v>1</v>
      </c>
      <c r="D37" s="49"/>
    </row>
    <row r="38" spans="1:4" x14ac:dyDescent="0.15">
      <c r="A38" s="71" t="s">
        <v>771</v>
      </c>
      <c r="B38" s="65">
        <v>1</v>
      </c>
      <c r="D38" s="49"/>
    </row>
    <row r="39" spans="1:4" x14ac:dyDescent="0.15">
      <c r="A39" s="71" t="s">
        <v>772</v>
      </c>
      <c r="B39" s="65">
        <v>1</v>
      </c>
      <c r="D39" s="49"/>
    </row>
    <row r="40" spans="1:4" x14ac:dyDescent="0.15">
      <c r="A40" s="71" t="s">
        <v>773</v>
      </c>
      <c r="B40" s="65">
        <v>1</v>
      </c>
      <c r="D40" s="49"/>
    </row>
    <row r="41" spans="1:4" x14ac:dyDescent="0.15">
      <c r="A41" s="72" t="s">
        <v>774</v>
      </c>
      <c r="B41" s="65">
        <v>2</v>
      </c>
      <c r="D41" s="49"/>
    </row>
    <row r="42" spans="1:4" x14ac:dyDescent="0.15">
      <c r="A42" s="72" t="s">
        <v>775</v>
      </c>
      <c r="B42" s="65">
        <v>2</v>
      </c>
      <c r="D42" s="49"/>
    </row>
    <row r="43" spans="1:4" x14ac:dyDescent="0.15">
      <c r="A43" s="72" t="s">
        <v>776</v>
      </c>
      <c r="B43" s="65">
        <v>2</v>
      </c>
      <c r="D43" s="49"/>
    </row>
    <row r="44" spans="1:4" x14ac:dyDescent="0.15">
      <c r="A44" s="72" t="s">
        <v>777</v>
      </c>
      <c r="B44" s="65">
        <v>2</v>
      </c>
      <c r="D44" s="49"/>
    </row>
    <row r="45" spans="1:4" x14ac:dyDescent="0.15">
      <c r="A45" s="72" t="s">
        <v>778</v>
      </c>
      <c r="B45" s="65">
        <v>2</v>
      </c>
      <c r="D45" s="49"/>
    </row>
    <row r="46" spans="1:4" x14ac:dyDescent="0.15">
      <c r="A46" s="72" t="s">
        <v>779</v>
      </c>
      <c r="B46" s="65">
        <v>2</v>
      </c>
      <c r="D46" s="49"/>
    </row>
    <row r="47" spans="1:4" x14ac:dyDescent="0.15">
      <c r="A47" s="72" t="s">
        <v>780</v>
      </c>
      <c r="B47" s="65">
        <v>2</v>
      </c>
      <c r="D47" s="49"/>
    </row>
    <row r="48" spans="1:4" x14ac:dyDescent="0.15">
      <c r="A48" s="72" t="s">
        <v>781</v>
      </c>
      <c r="B48" s="65">
        <v>2</v>
      </c>
      <c r="D48" s="49"/>
    </row>
  </sheetData>
  <phoneticPr fontId="1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F3C480176971584097CDE791141B6719" ma:contentTypeVersion="27" ma:contentTypeDescription="新しいドキュメントを作成します。" ma:contentTypeScope="" ma:versionID="5c5f8eb6891a5201cc545d2bde5e9c48">
  <xsd:schema xmlns:xsd="http://www.w3.org/2001/XMLSchema" xmlns:xs="http://www.w3.org/2001/XMLSchema" xmlns:p="http://schemas.microsoft.com/office/2006/metadata/properties" xmlns:ns2="d39af0cb-0983-4715-b141-0aab39aae9e3" xmlns:ns3="35ca8c1a-8214-45a6-a67c-7eb2ab2174e2" targetNamespace="http://schemas.microsoft.com/office/2006/metadata/properties" ma:root="true" ma:fieldsID="0a78b92d339d6d5574a72e9e1ebe8737" ns2:_="" ns3:_="">
    <xsd:import namespace="d39af0cb-0983-4715-b141-0aab39aae9e3"/>
    <xsd:import namespace="35ca8c1a-8214-45a6-a67c-7eb2ab2174e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evel" minOccurs="0"/>
                <xsd:element ref="ns2:_x5099__x8003_" minOccurs="0"/>
                <xsd:element ref="ns2:MediaServiceAutoKeyPoints" minOccurs="0"/>
                <xsd:element ref="ns2:MediaServiceKeyPoints" minOccurs="0"/>
                <xsd:element ref="ns2:KeyNo" minOccurs="0"/>
                <xsd:element ref="ns3:TaxCatchAll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9af0cb-0983-4715-b141-0aab39aae9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evel" ma:index="19" nillable="true" ma:displayName="Level" ma:format="Dropdown" ma:internalName="Level">
      <xsd:simpleType>
        <xsd:restriction base="dms:Text">
          <xsd:maxLength value="255"/>
        </xsd:restriction>
      </xsd:simpleType>
    </xsd:element>
    <xsd:element name="_x5099__x8003_" ma:index="20" nillable="true" ma:displayName="備考" ma:format="Dropdown" ma:internalName="_x5099__x8003_">
      <xsd:simpleType>
        <xsd:restriction base="dms:Text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KeyNo" ma:index="23" nillable="true" ma:displayName="KeyNo" ma:internalName="KeyNo">
      <xsd:simpleType>
        <xsd:restriction base="dms:Text">
          <xsd:maxLength value="255"/>
        </xsd:restriction>
      </xsd:simpleType>
    </xsd:element>
    <xsd:element name="lcf76f155ced4ddcb4097134ff3c332f" ma:index="26" nillable="true" ma:taxonomy="true" ma:internalName="lcf76f155ced4ddcb4097134ff3c332f" ma:taxonomyFieldName="MediaServiceImageTags" ma:displayName="画像タグ" ma:readOnly="false" ma:fieldId="{5cf76f15-5ced-4ddc-b409-7134ff3c332f}" ma:taxonomyMulti="true" ma:sspId="8025351e-2728-4284-826b-0482ed602b2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ca8c1a-8214-45a6-a67c-7eb2ab2174e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7855d422-937c-46ce-981f-4fe56aedc648}" ma:internalName="TaxCatchAll" ma:showField="CatchAllData" ma:web="35ca8c1a-8214-45a6-a67c-7eb2ab2174e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KeyNo xmlns="d39af0cb-0983-4715-b141-0aab39aae9e3" xsi:nil="true"/>
    <_x5099__x8003_ xmlns="d39af0cb-0983-4715-b141-0aab39aae9e3" xsi:nil="true"/>
    <Level xmlns="d39af0cb-0983-4715-b141-0aab39aae9e3" xsi:nil="true"/>
    <lcf76f155ced4ddcb4097134ff3c332f xmlns="d39af0cb-0983-4715-b141-0aab39aae9e3">
      <Terms xmlns="http://schemas.microsoft.com/office/infopath/2007/PartnerControls"/>
    </lcf76f155ced4ddcb4097134ff3c332f>
    <TaxCatchAll xmlns="35ca8c1a-8214-45a6-a67c-7eb2ab2174e2" xsi:nil="true"/>
  </documentManagement>
</p:properties>
</file>

<file path=customXml/itemProps1.xml><?xml version="1.0" encoding="utf-8"?>
<ds:datastoreItem xmlns:ds="http://schemas.openxmlformats.org/officeDocument/2006/customXml" ds:itemID="{92B7E214-697E-4345-826A-0E190C5723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34996B2-ED92-4A4E-9996-086D59BBB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9af0cb-0983-4715-b141-0aab39aae9e3"/>
    <ds:schemaRef ds:uri="35ca8c1a-8214-45a6-a67c-7eb2ab2174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1113EB6-D2A7-4AB4-8B89-CE6E96ED74A9}">
  <ds:schemaRefs>
    <ds:schemaRef ds:uri="35ca8c1a-8214-45a6-a67c-7eb2ab2174e2"/>
    <ds:schemaRef ds:uri="http://purl.org/dc/elements/1.1/"/>
    <ds:schemaRef ds:uri="d39af0cb-0983-4715-b141-0aab39aae9e3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4</vt:i4>
      </vt:variant>
    </vt:vector>
  </HeadingPairs>
  <TitlesOfParts>
    <vt:vector size="23" baseType="lpstr">
      <vt:lpstr>W2Pデータ貼り付け</vt:lpstr>
      <vt:lpstr>☆使い方</vt:lpstr>
      <vt:lpstr>ファイル名保持</vt:lpstr>
      <vt:lpstr>注文書</vt:lpstr>
      <vt:lpstr>作業指示書作成リスト</vt:lpstr>
      <vt:lpstr>製品仕様マスタ</vt:lpstr>
      <vt:lpstr>特定新藤様商品コード設定シート</vt:lpstr>
      <vt:lpstr>配送先住所</vt:lpstr>
      <vt:lpstr>ファイル名設定シート</vt:lpstr>
      <vt:lpstr>送料振り分け設定シート</vt:lpstr>
      <vt:lpstr>orderDetailと入庫、出荷の項目の対応付け設定</vt:lpstr>
      <vt:lpstr>【ヘッダー】出荷データ</vt:lpstr>
      <vt:lpstr>【ヘッダー】入庫取込データ</vt:lpstr>
      <vt:lpstr>【ヘッダー】新藤様用締めデータ</vt:lpstr>
      <vt:lpstr>梱包数</vt:lpstr>
      <vt:lpstr>梱包数(個別)</vt:lpstr>
      <vt:lpstr>定款コード</vt:lpstr>
      <vt:lpstr>祝日表</vt:lpstr>
      <vt:lpstr>配送先都道府県</vt:lpstr>
      <vt:lpstr>☆使い方!Print_Area</vt:lpstr>
      <vt:lpstr>作業指示書作成リスト!Print_Area</vt:lpstr>
      <vt:lpstr>注文書!Print_Area</vt:lpstr>
      <vt:lpstr>注文書!Print_Titles</vt:lpstr>
    </vt:vector>
  </TitlesOfParts>
  <Company>リコー三愛サービス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junko</dc:creator>
  <cp:lastModifiedBy>Hyu nisworks</cp:lastModifiedBy>
  <cp:lastPrinted>2026-01-18T08:56:54Z</cp:lastPrinted>
  <dcterms:created xsi:type="dcterms:W3CDTF">2009-09-04T01:30:28Z</dcterms:created>
  <dcterms:modified xsi:type="dcterms:W3CDTF">2026-01-18T09:50:24Z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0x010100F3C480176971584097CDE791141B6719</vt:lpwstr>
  </property>
  <property fmtid="{D5CDD505-2E9C-101B-9397-08002B2CF9AE}" pid="3" name="MediaServiceImageTags">
    <vt:lpwstr/>
  </property>
</Properties>
</file>